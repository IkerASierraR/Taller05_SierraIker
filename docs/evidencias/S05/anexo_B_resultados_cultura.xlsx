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uestas_Encuesta" sheetId="1" state="visible" r:id="rId1"/>
    <sheet name="Control_Calidad" sheetId="2" state="visible" r:id="rId2"/>
    <sheet name="Perfil_General" sheetId="3" state="visible" r:id="rId3"/>
    <sheet name="Perfil_Por_Area" sheetId="4" state="visible" r:id="rId4"/>
    <sheet name="Brechas_Por_Dimen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8">
    <font>
      <name val="Calibri"/>
      <family val="2"/>
      <color theme="1"/>
      <sz val="11"/>
      <scheme val="minor"/>
    </font>
    <font>
      <name val="Arial"/>
      <b val="1"/>
      <color rgb="0016285C"/>
      <sz val="14"/>
    </font>
    <font>
      <name val="Arial"/>
      <i val="1"/>
      <color rgb="000066B3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006100"/>
      <sz val="9"/>
    </font>
    <font>
      <name val="Arial"/>
      <sz val="9"/>
    </font>
    <font>
      <name val="Arial"/>
      <b val="1"/>
      <color rgb="009C0006"/>
      <sz val="9"/>
    </font>
  </fonts>
  <fills count="7">
    <fill>
      <patternFill/>
    </fill>
    <fill>
      <patternFill patternType="gray125"/>
    </fill>
    <fill>
      <patternFill patternType="solid">
        <fgColor rgb="0016285C"/>
        <bgColor rgb="0016285C"/>
      </patternFill>
    </fill>
    <fill>
      <patternFill patternType="solid">
        <fgColor rgb="00C6EFCE"/>
        <bgColor rgb="00C6EFCE"/>
      </patternFill>
    </fill>
    <fill>
      <patternFill patternType="solid">
        <fgColor rgb="00F5F7FA"/>
        <bgColor rgb="00F5F7FA"/>
      </patternFill>
    </fill>
    <fill>
      <patternFill patternType="solid">
        <fgColor rgb="00E8F1FB"/>
        <bgColor rgb="00E8F1FB"/>
      </patternFill>
    </fill>
    <fill>
      <patternFill patternType="solid">
        <fgColor rgb="000066B3"/>
        <bgColor rgb="000066B3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16285C"/>
      </top>
      <bottom style="double">
        <color rgb="0016285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3" fillId="2" borderId="0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/>
    </xf>
    <xf numFmtId="0" fontId="0" fillId="4" borderId="1" pivotButton="0" quotePrefix="0" xfId="0"/>
    <xf numFmtId="0" fontId="4" fillId="0" borderId="1" pivotButton="0" quotePrefix="0" xfId="0"/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5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2" fontId="0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2" fontId="4" fillId="5" borderId="2" pivotButton="0" quotePrefix="0" xfId="0"/>
    <xf numFmtId="2" fontId="4" fillId="5" borderId="2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4" fillId="3" borderId="1" pivotButton="0" quotePrefix="0" xfId="0"/>
    <xf numFmtId="0" fontId="3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9" customWidth="1" min="3" max="3"/>
    <col width="16" customWidth="1" min="4" max="4"/>
    <col width="17" customWidth="1" min="5" max="5"/>
    <col width="15" customWidth="1" min="6" max="6"/>
    <col width="15" customWidth="1" min="7" max="7"/>
    <col width="16" customWidth="1" min="8" max="8"/>
    <col width="16" customWidth="1" min="9" max="9"/>
    <col width="17" customWidth="1" min="10" max="10"/>
    <col width="15" customWidth="1" min="11" max="11"/>
    <col width="15" customWidth="1" min="12" max="12"/>
    <col width="16" customWidth="1" min="13" max="13"/>
    <col width="45" customWidth="1" min="14" max="14"/>
  </cols>
  <sheetData>
    <row r="1">
      <c r="A1" s="1" t="inlineStr">
        <is>
          <t>DISTRIBUIDORA COMERCIAL DEL SUR S.A.C. (DICOSUR) - ENCUESTA DE CULTURA CVF</t>
        </is>
      </c>
    </row>
    <row r="2">
      <c r="A2" s="2" t="inlineStr">
        <is>
          <t>Respuestas individuales anonimizadas por área y dimensión (15 respondientes × 6 dimensiones = 90 bloques)</t>
        </is>
      </c>
    </row>
    <row r="3"/>
    <row r="4">
      <c r="A4" s="3" t="inlineStr">
        <is>
          <t>Respondiente</t>
        </is>
      </c>
      <c r="B4" s="3" t="inlineStr">
        <is>
          <t>Área</t>
        </is>
      </c>
      <c r="C4" s="3" t="inlineStr">
        <is>
          <t>Dimensión</t>
        </is>
      </c>
      <c r="D4" s="3" t="inlineStr">
        <is>
          <t>A (Clan) Act.</t>
        </is>
      </c>
      <c r="E4" s="3" t="inlineStr">
        <is>
          <t>B (Adhoc) Act.</t>
        </is>
      </c>
      <c r="F4" s="3" t="inlineStr">
        <is>
          <t>C (Mkt) Act.</t>
        </is>
      </c>
      <c r="G4" s="3" t="inlineStr">
        <is>
          <t>D (Jer) Act.</t>
        </is>
      </c>
      <c r="H4" s="3" t="inlineStr">
        <is>
          <t>Suma Actual</t>
        </is>
      </c>
      <c r="I4" s="3" t="inlineStr">
        <is>
          <t>A (Clan) Des.</t>
        </is>
      </c>
      <c r="J4" s="3" t="inlineStr">
        <is>
          <t>B (Adhoc) Des.</t>
        </is>
      </c>
      <c r="K4" s="3" t="inlineStr">
        <is>
          <t>C (Mkt) Des.</t>
        </is>
      </c>
      <c r="L4" s="3" t="inlineStr">
        <is>
          <t>D (Jer) Des.</t>
        </is>
      </c>
      <c r="M4" s="3" t="inlineStr">
        <is>
          <t>Suma Deseado</t>
        </is>
      </c>
      <c r="N4" s="3" t="inlineStr">
        <is>
          <t>Control Calidad</t>
        </is>
      </c>
    </row>
    <row r="5">
      <c r="A5" s="4" t="inlineStr">
        <is>
          <t>R01</t>
        </is>
      </c>
      <c r="B5" s="5" t="inlineStr">
        <is>
          <t>Administracion</t>
        </is>
      </c>
      <c r="C5" s="5" t="inlineStr">
        <is>
          <t>Caracteristicas dominantes</t>
        </is>
      </c>
      <c r="D5" s="6" t="n">
        <v>15</v>
      </c>
      <c r="E5" s="6" t="n">
        <v>9</v>
      </c>
      <c r="F5" s="6" t="n">
        <v>29</v>
      </c>
      <c r="G5" s="6" t="n">
        <v>47</v>
      </c>
      <c r="H5" s="7">
        <f>SUM(D5:G5)</f>
        <v/>
      </c>
      <c r="I5" s="6" t="n">
        <v>22</v>
      </c>
      <c r="J5" s="6" t="n">
        <v>29</v>
      </c>
      <c r="K5" s="6" t="n">
        <v>25</v>
      </c>
      <c r="L5" s="6" t="n">
        <v>24</v>
      </c>
      <c r="M5" s="7">
        <f>SUM(I5:L5)</f>
        <v/>
      </c>
      <c r="N5" s="8">
        <f>IF(AND(H5=100,M5=100),"VÁLIDO","ERROR")</f>
        <v/>
      </c>
    </row>
    <row r="6">
      <c r="A6" s="9" t="inlineStr">
        <is>
          <t>R01</t>
        </is>
      </c>
      <c r="B6" s="10" t="inlineStr">
        <is>
          <t>Administracion</t>
        </is>
      </c>
      <c r="C6" s="10" t="inlineStr">
        <is>
          <t>Liderazgo</t>
        </is>
      </c>
      <c r="D6" s="11" t="n">
        <v>18</v>
      </c>
      <c r="E6" s="11" t="n">
        <v>15</v>
      </c>
      <c r="F6" s="11" t="n">
        <v>25</v>
      </c>
      <c r="G6" s="11" t="n">
        <v>42</v>
      </c>
      <c r="H6" s="12">
        <f>SUM(D6:G6)</f>
        <v/>
      </c>
      <c r="I6" s="11" t="n">
        <v>22</v>
      </c>
      <c r="J6" s="11" t="n">
        <v>32</v>
      </c>
      <c r="K6" s="11" t="n">
        <v>29</v>
      </c>
      <c r="L6" s="11" t="n">
        <v>17</v>
      </c>
      <c r="M6" s="12">
        <f>SUM(I6:L6)</f>
        <v/>
      </c>
      <c r="N6" s="8">
        <f>IF(AND(H6=100,M6=100),"VÁLIDO","ERROR")</f>
        <v/>
      </c>
    </row>
    <row r="7">
      <c r="A7" s="4" t="inlineStr">
        <is>
          <t>R01</t>
        </is>
      </c>
      <c r="B7" s="5" t="inlineStr">
        <is>
          <t>Administracion</t>
        </is>
      </c>
      <c r="C7" s="5" t="inlineStr">
        <is>
          <t>Gestion del personal</t>
        </is>
      </c>
      <c r="D7" s="6" t="n">
        <v>15</v>
      </c>
      <c r="E7" s="6" t="n">
        <v>11</v>
      </c>
      <c r="F7" s="6" t="n">
        <v>23</v>
      </c>
      <c r="G7" s="6" t="n">
        <v>51</v>
      </c>
      <c r="H7" s="7">
        <f>SUM(D7:G7)</f>
        <v/>
      </c>
      <c r="I7" s="6" t="n">
        <v>21</v>
      </c>
      <c r="J7" s="6" t="n">
        <v>32</v>
      </c>
      <c r="K7" s="6" t="n">
        <v>31</v>
      </c>
      <c r="L7" s="6" t="n">
        <v>16</v>
      </c>
      <c r="M7" s="7">
        <f>SUM(I7:L7)</f>
        <v/>
      </c>
      <c r="N7" s="8">
        <f>IF(AND(H7=100,M7=100),"VÁLIDO","ERROR")</f>
        <v/>
      </c>
    </row>
    <row r="8">
      <c r="A8" s="9" t="inlineStr">
        <is>
          <t>R01</t>
        </is>
      </c>
      <c r="B8" s="10" t="inlineStr">
        <is>
          <t>Administracion</t>
        </is>
      </c>
      <c r="C8" s="10" t="inlineStr">
        <is>
          <t>Cohesion</t>
        </is>
      </c>
      <c r="D8" s="11" t="n">
        <v>19</v>
      </c>
      <c r="E8" s="11" t="n">
        <v>12</v>
      </c>
      <c r="F8" s="11" t="n">
        <v>28</v>
      </c>
      <c r="G8" s="11" t="n">
        <v>41</v>
      </c>
      <c r="H8" s="12">
        <f>SUM(D8:G8)</f>
        <v/>
      </c>
      <c r="I8" s="11" t="n">
        <v>18</v>
      </c>
      <c r="J8" s="11" t="n">
        <v>31</v>
      </c>
      <c r="K8" s="11" t="n">
        <v>26</v>
      </c>
      <c r="L8" s="11" t="n">
        <v>25</v>
      </c>
      <c r="M8" s="12">
        <f>SUM(I8:L8)</f>
        <v/>
      </c>
      <c r="N8" s="8">
        <f>IF(AND(H8=100,M8=100),"VÁLIDO","ERROR")</f>
        <v/>
      </c>
    </row>
    <row r="9">
      <c r="A9" s="4" t="inlineStr">
        <is>
          <t>R01</t>
        </is>
      </c>
      <c r="B9" s="5" t="inlineStr">
        <is>
          <t>Administracion</t>
        </is>
      </c>
      <c r="C9" s="5" t="inlineStr">
        <is>
          <t>Enfasis estrategico</t>
        </is>
      </c>
      <c r="D9" s="6" t="n">
        <v>13</v>
      </c>
      <c r="E9" s="6" t="n">
        <v>12</v>
      </c>
      <c r="F9" s="6" t="n">
        <v>24</v>
      </c>
      <c r="G9" s="6" t="n">
        <v>51</v>
      </c>
      <c r="H9" s="7">
        <f>SUM(D9:G9)</f>
        <v/>
      </c>
      <c r="I9" s="6" t="n">
        <v>21</v>
      </c>
      <c r="J9" s="6" t="n">
        <v>34</v>
      </c>
      <c r="K9" s="6" t="n">
        <v>28</v>
      </c>
      <c r="L9" s="6" t="n">
        <v>17</v>
      </c>
      <c r="M9" s="7">
        <f>SUM(I9:L9)</f>
        <v/>
      </c>
      <c r="N9" s="8">
        <f>IF(AND(H9=100,M9=100),"VÁLIDO","ERROR")</f>
        <v/>
      </c>
    </row>
    <row r="10">
      <c r="A10" s="9" t="inlineStr">
        <is>
          <t>R01</t>
        </is>
      </c>
      <c r="B10" s="10" t="inlineStr">
        <is>
          <t>Administracion</t>
        </is>
      </c>
      <c r="C10" s="10" t="inlineStr">
        <is>
          <t>Criterio de exito</t>
        </is>
      </c>
      <c r="D10" s="11" t="n">
        <v>13</v>
      </c>
      <c r="E10" s="11" t="n">
        <v>15</v>
      </c>
      <c r="F10" s="11" t="n">
        <v>22</v>
      </c>
      <c r="G10" s="11" t="n">
        <v>50</v>
      </c>
      <c r="H10" s="12">
        <f>SUM(D10:G10)</f>
        <v/>
      </c>
      <c r="I10" s="11" t="n">
        <v>30</v>
      </c>
      <c r="J10" s="11" t="n">
        <v>27</v>
      </c>
      <c r="K10" s="11" t="n">
        <v>22</v>
      </c>
      <c r="L10" s="11" t="n">
        <v>21</v>
      </c>
      <c r="M10" s="12">
        <f>SUM(I10:L10)</f>
        <v/>
      </c>
      <c r="N10" s="8">
        <f>IF(AND(H10=100,M10=100),"VÁLIDO","ERROR")</f>
        <v/>
      </c>
    </row>
    <row r="11">
      <c r="A11" s="4" t="inlineStr">
        <is>
          <t>R02</t>
        </is>
      </c>
      <c r="B11" s="5" t="inlineStr">
        <is>
          <t>Administracion</t>
        </is>
      </c>
      <c r="C11" s="5" t="inlineStr">
        <is>
          <t>Caracteristicas dominantes</t>
        </is>
      </c>
      <c r="D11" s="6" t="n">
        <v>17</v>
      </c>
      <c r="E11" s="6" t="n">
        <v>15</v>
      </c>
      <c r="F11" s="6" t="n">
        <v>24</v>
      </c>
      <c r="G11" s="6" t="n">
        <v>44</v>
      </c>
      <c r="H11" s="7">
        <f>SUM(D11:G11)</f>
        <v/>
      </c>
      <c r="I11" s="6" t="n">
        <v>21</v>
      </c>
      <c r="J11" s="6" t="n">
        <v>27</v>
      </c>
      <c r="K11" s="6" t="n">
        <v>31</v>
      </c>
      <c r="L11" s="6" t="n">
        <v>21</v>
      </c>
      <c r="M11" s="7">
        <f>SUM(I11:L11)</f>
        <v/>
      </c>
      <c r="N11" s="8">
        <f>IF(AND(H11=100,M11=100),"VÁLIDO","ERROR")</f>
        <v/>
      </c>
    </row>
    <row r="12">
      <c r="A12" s="9" t="inlineStr">
        <is>
          <t>R02</t>
        </is>
      </c>
      <c r="B12" s="10" t="inlineStr">
        <is>
          <t>Administracion</t>
        </is>
      </c>
      <c r="C12" s="10" t="inlineStr">
        <is>
          <t>Liderazgo</t>
        </is>
      </c>
      <c r="D12" s="11" t="n">
        <v>11</v>
      </c>
      <c r="E12" s="11" t="n">
        <v>12</v>
      </c>
      <c r="F12" s="11" t="n">
        <v>26</v>
      </c>
      <c r="G12" s="11" t="n">
        <v>51</v>
      </c>
      <c r="H12" s="12">
        <f>SUM(D12:G12)</f>
        <v/>
      </c>
      <c r="I12" s="11" t="n">
        <v>24</v>
      </c>
      <c r="J12" s="11" t="n">
        <v>32</v>
      </c>
      <c r="K12" s="11" t="n">
        <v>26</v>
      </c>
      <c r="L12" s="11" t="n">
        <v>18</v>
      </c>
      <c r="M12" s="12">
        <f>SUM(I12:L12)</f>
        <v/>
      </c>
      <c r="N12" s="8">
        <f>IF(AND(H12=100,M12=100),"VÁLIDO","ERROR")</f>
        <v/>
      </c>
    </row>
    <row r="13">
      <c r="A13" s="4" t="inlineStr">
        <is>
          <t>R02</t>
        </is>
      </c>
      <c r="B13" s="5" t="inlineStr">
        <is>
          <t>Administracion</t>
        </is>
      </c>
      <c r="C13" s="5" t="inlineStr">
        <is>
          <t>Gestion del personal</t>
        </is>
      </c>
      <c r="D13" s="6" t="n">
        <v>18</v>
      </c>
      <c r="E13" s="6" t="n">
        <v>10</v>
      </c>
      <c r="F13" s="6" t="n">
        <v>27</v>
      </c>
      <c r="G13" s="6" t="n">
        <v>45</v>
      </c>
      <c r="H13" s="7">
        <f>SUM(D13:G13)</f>
        <v/>
      </c>
      <c r="I13" s="6" t="n">
        <v>22</v>
      </c>
      <c r="J13" s="6" t="n">
        <v>35</v>
      </c>
      <c r="K13" s="6" t="n">
        <v>28</v>
      </c>
      <c r="L13" s="6" t="n">
        <v>15</v>
      </c>
      <c r="M13" s="7">
        <f>SUM(I13:L13)</f>
        <v/>
      </c>
      <c r="N13" s="8">
        <f>IF(AND(H13=100,M13=100),"VÁLIDO","ERROR")</f>
        <v/>
      </c>
    </row>
    <row r="14">
      <c r="A14" s="9" t="inlineStr">
        <is>
          <t>R02</t>
        </is>
      </c>
      <c r="B14" s="10" t="inlineStr">
        <is>
          <t>Administracion</t>
        </is>
      </c>
      <c r="C14" s="10" t="inlineStr">
        <is>
          <t>Cohesion</t>
        </is>
      </c>
      <c r="D14" s="11" t="n">
        <v>13</v>
      </c>
      <c r="E14" s="11" t="n">
        <v>13</v>
      </c>
      <c r="F14" s="11" t="n">
        <v>28</v>
      </c>
      <c r="G14" s="11" t="n">
        <v>46</v>
      </c>
      <c r="H14" s="12">
        <f>SUM(D14:G14)</f>
        <v/>
      </c>
      <c r="I14" s="11" t="n">
        <v>24</v>
      </c>
      <c r="J14" s="11" t="n">
        <v>24</v>
      </c>
      <c r="K14" s="11" t="n">
        <v>29</v>
      </c>
      <c r="L14" s="11" t="n">
        <v>23</v>
      </c>
      <c r="M14" s="12">
        <f>SUM(I14:L14)</f>
        <v/>
      </c>
      <c r="N14" s="8">
        <f>IF(AND(H14=100,M14=100),"VÁLIDO","ERROR")</f>
        <v/>
      </c>
    </row>
    <row r="15">
      <c r="A15" s="4" t="inlineStr">
        <is>
          <t>R02</t>
        </is>
      </c>
      <c r="B15" s="5" t="inlineStr">
        <is>
          <t>Administracion</t>
        </is>
      </c>
      <c r="C15" s="5" t="inlineStr">
        <is>
          <t>Enfasis estrategico</t>
        </is>
      </c>
      <c r="D15" s="6" t="n">
        <v>18</v>
      </c>
      <c r="E15" s="6" t="n">
        <v>14</v>
      </c>
      <c r="F15" s="6" t="n">
        <v>21</v>
      </c>
      <c r="G15" s="6" t="n">
        <v>47</v>
      </c>
      <c r="H15" s="7">
        <f>SUM(D15:G15)</f>
        <v/>
      </c>
      <c r="I15" s="6" t="n">
        <v>25</v>
      </c>
      <c r="J15" s="6" t="n">
        <v>29</v>
      </c>
      <c r="K15" s="6" t="n">
        <v>23</v>
      </c>
      <c r="L15" s="6" t="n">
        <v>23</v>
      </c>
      <c r="M15" s="7">
        <f>SUM(I15:L15)</f>
        <v/>
      </c>
      <c r="N15" s="8">
        <f>IF(AND(H15=100,M15=100),"VÁLIDO","ERROR")</f>
        <v/>
      </c>
    </row>
    <row r="16">
      <c r="A16" s="9" t="inlineStr">
        <is>
          <t>R02</t>
        </is>
      </c>
      <c r="B16" s="10" t="inlineStr">
        <is>
          <t>Administracion</t>
        </is>
      </c>
      <c r="C16" s="10" t="inlineStr">
        <is>
          <t>Criterio de exito</t>
        </is>
      </c>
      <c r="D16" s="11" t="n">
        <v>13</v>
      </c>
      <c r="E16" s="11" t="n">
        <v>10</v>
      </c>
      <c r="F16" s="11" t="n">
        <v>22</v>
      </c>
      <c r="G16" s="11" t="n">
        <v>55</v>
      </c>
      <c r="H16" s="12">
        <f>SUM(D16:G16)</f>
        <v/>
      </c>
      <c r="I16" s="11" t="n">
        <v>24</v>
      </c>
      <c r="J16" s="11" t="n">
        <v>27</v>
      </c>
      <c r="K16" s="11" t="n">
        <v>27</v>
      </c>
      <c r="L16" s="11" t="n">
        <v>22</v>
      </c>
      <c r="M16" s="12">
        <f>SUM(I16:L16)</f>
        <v/>
      </c>
      <c r="N16" s="8">
        <f>IF(AND(H16=100,M16=100),"VÁLIDO","ERROR")</f>
        <v/>
      </c>
    </row>
    <row r="17">
      <c r="A17" s="4" t="inlineStr">
        <is>
          <t>R03</t>
        </is>
      </c>
      <c r="B17" s="5" t="inlineStr">
        <is>
          <t>Administracion</t>
        </is>
      </c>
      <c r="C17" s="5" t="inlineStr">
        <is>
          <t>Caracteristicas dominantes</t>
        </is>
      </c>
      <c r="D17" s="6" t="n">
        <v>19</v>
      </c>
      <c r="E17" s="6" t="n">
        <v>15</v>
      </c>
      <c r="F17" s="6" t="n">
        <v>23</v>
      </c>
      <c r="G17" s="6" t="n">
        <v>43</v>
      </c>
      <c r="H17" s="7">
        <f>SUM(D17:G17)</f>
        <v/>
      </c>
      <c r="I17" s="6" t="n">
        <v>22</v>
      </c>
      <c r="J17" s="6" t="n">
        <v>29</v>
      </c>
      <c r="K17" s="6" t="n">
        <v>28</v>
      </c>
      <c r="L17" s="6" t="n">
        <v>21</v>
      </c>
      <c r="M17" s="7">
        <f>SUM(I17:L17)</f>
        <v/>
      </c>
      <c r="N17" s="8">
        <f>IF(AND(H17=100,M17=100),"VÁLIDO","ERROR")</f>
        <v/>
      </c>
    </row>
    <row r="18">
      <c r="A18" s="9" t="inlineStr">
        <is>
          <t>R03</t>
        </is>
      </c>
      <c r="B18" s="10" t="inlineStr">
        <is>
          <t>Administracion</t>
        </is>
      </c>
      <c r="C18" s="10" t="inlineStr">
        <is>
          <t>Liderazgo</t>
        </is>
      </c>
      <c r="D18" s="11" t="n">
        <v>12</v>
      </c>
      <c r="E18" s="11" t="n">
        <v>13</v>
      </c>
      <c r="F18" s="11" t="n">
        <v>25</v>
      </c>
      <c r="G18" s="11" t="n">
        <v>50</v>
      </c>
      <c r="H18" s="12">
        <f>SUM(D18:G18)</f>
        <v/>
      </c>
      <c r="I18" s="11" t="n">
        <v>24</v>
      </c>
      <c r="J18" s="11" t="n">
        <v>27</v>
      </c>
      <c r="K18" s="11" t="n">
        <v>27</v>
      </c>
      <c r="L18" s="11" t="n">
        <v>22</v>
      </c>
      <c r="M18" s="12">
        <f>SUM(I18:L18)</f>
        <v/>
      </c>
      <c r="N18" s="8">
        <f>IF(AND(H18=100,M18=100),"VÁLIDO","ERROR")</f>
        <v/>
      </c>
    </row>
    <row r="19">
      <c r="A19" s="4" t="inlineStr">
        <is>
          <t>R03</t>
        </is>
      </c>
      <c r="B19" s="5" t="inlineStr">
        <is>
          <t>Administracion</t>
        </is>
      </c>
      <c r="C19" s="5" t="inlineStr">
        <is>
          <t>Gestion del personal</t>
        </is>
      </c>
      <c r="D19" s="6" t="n">
        <v>13</v>
      </c>
      <c r="E19" s="6" t="n">
        <v>7</v>
      </c>
      <c r="F19" s="6" t="n">
        <v>26</v>
      </c>
      <c r="G19" s="6" t="n">
        <v>54</v>
      </c>
      <c r="H19" s="7">
        <f>SUM(D19:G19)</f>
        <v/>
      </c>
      <c r="I19" s="6" t="n">
        <v>20</v>
      </c>
      <c r="J19" s="6" t="n">
        <v>33</v>
      </c>
      <c r="K19" s="6" t="n">
        <v>31</v>
      </c>
      <c r="L19" s="6" t="n">
        <v>16</v>
      </c>
      <c r="M19" s="7">
        <f>SUM(I19:L19)</f>
        <v/>
      </c>
      <c r="N19" s="8">
        <f>IF(AND(H19=100,M19=100),"VÁLIDO","ERROR")</f>
        <v/>
      </c>
    </row>
    <row r="20">
      <c r="A20" s="9" t="inlineStr">
        <is>
          <t>R03</t>
        </is>
      </c>
      <c r="B20" s="10" t="inlineStr">
        <is>
          <t>Administracion</t>
        </is>
      </c>
      <c r="C20" s="10" t="inlineStr">
        <is>
          <t>Cohesion</t>
        </is>
      </c>
      <c r="D20" s="11" t="n">
        <v>17</v>
      </c>
      <c r="E20" s="11" t="n">
        <v>8</v>
      </c>
      <c r="F20" s="11" t="n">
        <v>26</v>
      </c>
      <c r="G20" s="11" t="n">
        <v>49</v>
      </c>
      <c r="H20" s="12">
        <f>SUM(D20:G20)</f>
        <v/>
      </c>
      <c r="I20" s="11" t="n">
        <v>20</v>
      </c>
      <c r="J20" s="11" t="n">
        <v>31</v>
      </c>
      <c r="K20" s="11" t="n">
        <v>29</v>
      </c>
      <c r="L20" s="11" t="n">
        <v>20</v>
      </c>
      <c r="M20" s="12">
        <f>SUM(I20:L20)</f>
        <v/>
      </c>
      <c r="N20" s="8">
        <f>IF(AND(H20=100,M20=100),"VÁLIDO","ERROR")</f>
        <v/>
      </c>
    </row>
    <row r="21">
      <c r="A21" s="4" t="inlineStr">
        <is>
          <t>R03</t>
        </is>
      </c>
      <c r="B21" s="5" t="inlineStr">
        <is>
          <t>Administracion</t>
        </is>
      </c>
      <c r="C21" s="5" t="inlineStr">
        <is>
          <t>Enfasis estrategico</t>
        </is>
      </c>
      <c r="D21" s="6" t="n">
        <v>16</v>
      </c>
      <c r="E21" s="6" t="n">
        <v>17</v>
      </c>
      <c r="F21" s="6" t="n">
        <v>22</v>
      </c>
      <c r="G21" s="6" t="n">
        <v>45</v>
      </c>
      <c r="H21" s="7">
        <f>SUM(D21:G21)</f>
        <v/>
      </c>
      <c r="I21" s="6" t="n">
        <v>19</v>
      </c>
      <c r="J21" s="6" t="n">
        <v>34</v>
      </c>
      <c r="K21" s="6" t="n">
        <v>26</v>
      </c>
      <c r="L21" s="6" t="n">
        <v>21</v>
      </c>
      <c r="M21" s="7">
        <f>SUM(I21:L21)</f>
        <v/>
      </c>
      <c r="N21" s="8">
        <f>IF(AND(H21=100,M21=100),"VÁLIDO","ERROR")</f>
        <v/>
      </c>
    </row>
    <row r="22">
      <c r="A22" s="9" t="inlineStr">
        <is>
          <t>R03</t>
        </is>
      </c>
      <c r="B22" s="10" t="inlineStr">
        <is>
          <t>Administracion</t>
        </is>
      </c>
      <c r="C22" s="10" t="inlineStr">
        <is>
          <t>Criterio de exito</t>
        </is>
      </c>
      <c r="D22" s="11" t="n">
        <v>12</v>
      </c>
      <c r="E22" s="11" t="n">
        <v>16</v>
      </c>
      <c r="F22" s="11" t="n">
        <v>28</v>
      </c>
      <c r="G22" s="11" t="n">
        <v>44</v>
      </c>
      <c r="H22" s="12">
        <f>SUM(D22:G22)</f>
        <v/>
      </c>
      <c r="I22" s="11" t="n">
        <v>31</v>
      </c>
      <c r="J22" s="11" t="n">
        <v>30</v>
      </c>
      <c r="K22" s="11" t="n">
        <v>21</v>
      </c>
      <c r="L22" s="11" t="n">
        <v>18</v>
      </c>
      <c r="M22" s="12">
        <f>SUM(I22:L22)</f>
        <v/>
      </c>
      <c r="N22" s="8">
        <f>IF(AND(H22=100,M22=100),"VÁLIDO","ERROR")</f>
        <v/>
      </c>
    </row>
    <row r="23">
      <c r="A23" s="4" t="inlineStr">
        <is>
          <t>R04</t>
        </is>
      </c>
      <c r="B23" s="5" t="inlineStr">
        <is>
          <t>Administracion</t>
        </is>
      </c>
      <c r="C23" s="5" t="inlineStr">
        <is>
          <t>Caracteristicas dominantes</t>
        </is>
      </c>
      <c r="D23" s="6" t="n">
        <v>17</v>
      </c>
      <c r="E23" s="6" t="n">
        <v>16</v>
      </c>
      <c r="F23" s="6" t="n">
        <v>27</v>
      </c>
      <c r="G23" s="6" t="n">
        <v>40</v>
      </c>
      <c r="H23" s="7">
        <f>SUM(D23:G23)</f>
        <v/>
      </c>
      <c r="I23" s="6" t="n">
        <v>25</v>
      </c>
      <c r="J23" s="6" t="n">
        <v>26</v>
      </c>
      <c r="K23" s="6" t="n">
        <v>27</v>
      </c>
      <c r="L23" s="6" t="n">
        <v>22</v>
      </c>
      <c r="M23" s="7">
        <f>SUM(I23:L23)</f>
        <v/>
      </c>
      <c r="N23" s="8">
        <f>IF(AND(H23=100,M23=100),"VÁLIDO","ERROR")</f>
        <v/>
      </c>
    </row>
    <row r="24">
      <c r="A24" s="9" t="inlineStr">
        <is>
          <t>R04</t>
        </is>
      </c>
      <c r="B24" s="10" t="inlineStr">
        <is>
          <t>Administracion</t>
        </is>
      </c>
      <c r="C24" s="10" t="inlineStr">
        <is>
          <t>Liderazgo</t>
        </is>
      </c>
      <c r="D24" s="11" t="n">
        <v>16</v>
      </c>
      <c r="E24" s="11" t="n">
        <v>16</v>
      </c>
      <c r="F24" s="11" t="n">
        <v>27</v>
      </c>
      <c r="G24" s="11" t="n">
        <v>41</v>
      </c>
      <c r="H24" s="12">
        <f>SUM(D24:G24)</f>
        <v/>
      </c>
      <c r="I24" s="11" t="n">
        <v>20</v>
      </c>
      <c r="J24" s="11" t="n">
        <v>28</v>
      </c>
      <c r="K24" s="11" t="n">
        <v>31</v>
      </c>
      <c r="L24" s="11" t="n">
        <v>21</v>
      </c>
      <c r="M24" s="12">
        <f>SUM(I24:L24)</f>
        <v/>
      </c>
      <c r="N24" s="8">
        <f>IF(AND(H24=100,M24=100),"VÁLIDO","ERROR")</f>
        <v/>
      </c>
    </row>
    <row r="25">
      <c r="A25" s="4" t="inlineStr">
        <is>
          <t>R04</t>
        </is>
      </c>
      <c r="B25" s="5" t="inlineStr">
        <is>
          <t>Administracion</t>
        </is>
      </c>
      <c r="C25" s="5" t="inlineStr">
        <is>
          <t>Gestion del personal</t>
        </is>
      </c>
      <c r="D25" s="6" t="n">
        <v>17</v>
      </c>
      <c r="E25" s="6" t="n">
        <v>15</v>
      </c>
      <c r="F25" s="6" t="n">
        <v>24</v>
      </c>
      <c r="G25" s="6" t="n">
        <v>44</v>
      </c>
      <c r="H25" s="7">
        <f>SUM(D25:G25)</f>
        <v/>
      </c>
      <c r="I25" s="6" t="n">
        <v>16</v>
      </c>
      <c r="J25" s="6" t="n">
        <v>34</v>
      </c>
      <c r="K25" s="6" t="n">
        <v>33</v>
      </c>
      <c r="L25" s="6" t="n">
        <v>17</v>
      </c>
      <c r="M25" s="7">
        <f>SUM(I25:L25)</f>
        <v/>
      </c>
      <c r="N25" s="8">
        <f>IF(AND(H25=100,M25=100),"VÁLIDO","ERROR")</f>
        <v/>
      </c>
    </row>
    <row r="26">
      <c r="A26" s="9" t="inlineStr">
        <is>
          <t>R04</t>
        </is>
      </c>
      <c r="B26" s="10" t="inlineStr">
        <is>
          <t>Administracion</t>
        </is>
      </c>
      <c r="C26" s="10" t="inlineStr">
        <is>
          <t>Cohesion</t>
        </is>
      </c>
      <c r="D26" s="11" t="n">
        <v>14</v>
      </c>
      <c r="E26" s="11" t="n">
        <v>8</v>
      </c>
      <c r="F26" s="11" t="n">
        <v>29</v>
      </c>
      <c r="G26" s="11" t="n">
        <v>49</v>
      </c>
      <c r="H26" s="12">
        <f>SUM(D26:G26)</f>
        <v/>
      </c>
      <c r="I26" s="11" t="n">
        <v>26</v>
      </c>
      <c r="J26" s="11" t="n">
        <v>27</v>
      </c>
      <c r="K26" s="11" t="n">
        <v>26</v>
      </c>
      <c r="L26" s="11" t="n">
        <v>21</v>
      </c>
      <c r="M26" s="12">
        <f>SUM(I26:L26)</f>
        <v/>
      </c>
      <c r="N26" s="8">
        <f>IF(AND(H26=100,M26=100),"VÁLIDO","ERROR")</f>
        <v/>
      </c>
    </row>
    <row r="27">
      <c r="A27" s="4" t="inlineStr">
        <is>
          <t>R04</t>
        </is>
      </c>
      <c r="B27" s="5" t="inlineStr">
        <is>
          <t>Administracion</t>
        </is>
      </c>
      <c r="C27" s="5" t="inlineStr">
        <is>
          <t>Enfasis estrategico</t>
        </is>
      </c>
      <c r="D27" s="6" t="n">
        <v>11</v>
      </c>
      <c r="E27" s="6" t="n">
        <v>12</v>
      </c>
      <c r="F27" s="6" t="n">
        <v>28</v>
      </c>
      <c r="G27" s="6" t="n">
        <v>49</v>
      </c>
      <c r="H27" s="7">
        <f>SUM(D27:G27)</f>
        <v/>
      </c>
      <c r="I27" s="6" t="n">
        <v>21</v>
      </c>
      <c r="J27" s="6" t="n">
        <v>30</v>
      </c>
      <c r="K27" s="6" t="n">
        <v>29</v>
      </c>
      <c r="L27" s="6" t="n">
        <v>20</v>
      </c>
      <c r="M27" s="7">
        <f>SUM(I27:L27)</f>
        <v/>
      </c>
      <c r="N27" s="8">
        <f>IF(AND(H27=100,M27=100),"VÁLIDO","ERROR")</f>
        <v/>
      </c>
    </row>
    <row r="28">
      <c r="A28" s="9" t="inlineStr">
        <is>
          <t>R04</t>
        </is>
      </c>
      <c r="B28" s="10" t="inlineStr">
        <is>
          <t>Administracion</t>
        </is>
      </c>
      <c r="C28" s="10" t="inlineStr">
        <is>
          <t>Criterio de exito</t>
        </is>
      </c>
      <c r="D28" s="11" t="n">
        <v>13</v>
      </c>
      <c r="E28" s="11" t="n">
        <v>15</v>
      </c>
      <c r="F28" s="11" t="n">
        <v>25</v>
      </c>
      <c r="G28" s="11" t="n">
        <v>47</v>
      </c>
      <c r="H28" s="12">
        <f>SUM(D28:G28)</f>
        <v/>
      </c>
      <c r="I28" s="11" t="n">
        <v>25</v>
      </c>
      <c r="J28" s="11" t="n">
        <v>29</v>
      </c>
      <c r="K28" s="11" t="n">
        <v>28</v>
      </c>
      <c r="L28" s="11" t="n">
        <v>18</v>
      </c>
      <c r="M28" s="12">
        <f>SUM(I28:L28)</f>
        <v/>
      </c>
      <c r="N28" s="8">
        <f>IF(AND(H28=100,M28=100),"VÁLIDO","ERROR")</f>
        <v/>
      </c>
    </row>
    <row r="29">
      <c r="A29" s="4" t="inlineStr">
        <is>
          <t>R05</t>
        </is>
      </c>
      <c r="B29" s="5" t="inlineStr">
        <is>
          <t>Administracion</t>
        </is>
      </c>
      <c r="C29" s="5" t="inlineStr">
        <is>
          <t>Caracteristicas dominantes</t>
        </is>
      </c>
      <c r="D29" s="6" t="n">
        <v>15</v>
      </c>
      <c r="E29" s="6" t="n">
        <v>14</v>
      </c>
      <c r="F29" s="6" t="n">
        <v>25</v>
      </c>
      <c r="G29" s="6" t="n">
        <v>46</v>
      </c>
      <c r="H29" s="7">
        <f>SUM(D29:G29)</f>
        <v/>
      </c>
      <c r="I29" s="6" t="n">
        <v>20</v>
      </c>
      <c r="J29" s="6" t="n">
        <v>32</v>
      </c>
      <c r="K29" s="6" t="n">
        <v>29</v>
      </c>
      <c r="L29" s="6" t="n">
        <v>19</v>
      </c>
      <c r="M29" s="7">
        <f>SUM(I29:L29)</f>
        <v/>
      </c>
      <c r="N29" s="8">
        <f>IF(AND(H29=100,M29=100),"VÁLIDO","ERROR")</f>
        <v/>
      </c>
    </row>
    <row r="30">
      <c r="A30" s="9" t="inlineStr">
        <is>
          <t>R05</t>
        </is>
      </c>
      <c r="B30" s="10" t="inlineStr">
        <is>
          <t>Administracion</t>
        </is>
      </c>
      <c r="C30" s="10" t="inlineStr">
        <is>
          <t>Liderazgo</t>
        </is>
      </c>
      <c r="D30" s="11" t="n">
        <v>17</v>
      </c>
      <c r="E30" s="11" t="n">
        <v>16</v>
      </c>
      <c r="F30" s="11" t="n">
        <v>25</v>
      </c>
      <c r="G30" s="11" t="n">
        <v>42</v>
      </c>
      <c r="H30" s="12">
        <f>SUM(D30:G30)</f>
        <v/>
      </c>
      <c r="I30" s="11" t="n">
        <v>24</v>
      </c>
      <c r="J30" s="11" t="n">
        <v>30</v>
      </c>
      <c r="K30" s="11" t="n">
        <v>27</v>
      </c>
      <c r="L30" s="11" t="n">
        <v>19</v>
      </c>
      <c r="M30" s="12">
        <f>SUM(I30:L30)</f>
        <v/>
      </c>
      <c r="N30" s="8">
        <f>IF(AND(H30=100,M30=100),"VÁLIDO","ERROR")</f>
        <v/>
      </c>
    </row>
    <row r="31">
      <c r="A31" s="4" t="inlineStr">
        <is>
          <t>R05</t>
        </is>
      </c>
      <c r="B31" s="5" t="inlineStr">
        <is>
          <t>Administracion</t>
        </is>
      </c>
      <c r="C31" s="5" t="inlineStr">
        <is>
          <t>Gestion del personal</t>
        </is>
      </c>
      <c r="D31" s="6" t="n">
        <v>13</v>
      </c>
      <c r="E31" s="6" t="n">
        <v>11</v>
      </c>
      <c r="F31" s="6" t="n">
        <v>29</v>
      </c>
      <c r="G31" s="6" t="n">
        <v>47</v>
      </c>
      <c r="H31" s="7">
        <f>SUM(D31:G31)</f>
        <v/>
      </c>
      <c r="I31" s="6" t="n">
        <v>22</v>
      </c>
      <c r="J31" s="6" t="n">
        <v>28</v>
      </c>
      <c r="K31" s="6" t="n">
        <v>30</v>
      </c>
      <c r="L31" s="6" t="n">
        <v>20</v>
      </c>
      <c r="M31" s="7">
        <f>SUM(I31:L31)</f>
        <v/>
      </c>
      <c r="N31" s="8">
        <f>IF(AND(H31=100,M31=100),"VÁLIDO","ERROR")</f>
        <v/>
      </c>
    </row>
    <row r="32">
      <c r="A32" s="9" t="inlineStr">
        <is>
          <t>R05</t>
        </is>
      </c>
      <c r="B32" s="10" t="inlineStr">
        <is>
          <t>Administracion</t>
        </is>
      </c>
      <c r="C32" s="10" t="inlineStr">
        <is>
          <t>Cohesion</t>
        </is>
      </c>
      <c r="D32" s="11" t="n">
        <v>11</v>
      </c>
      <c r="E32" s="11" t="n">
        <v>14</v>
      </c>
      <c r="F32" s="11" t="n">
        <v>21</v>
      </c>
      <c r="G32" s="11" t="n">
        <v>54</v>
      </c>
      <c r="H32" s="12">
        <f>SUM(D32:G32)</f>
        <v/>
      </c>
      <c r="I32" s="11" t="n">
        <v>23</v>
      </c>
      <c r="J32" s="11" t="n">
        <v>32</v>
      </c>
      <c r="K32" s="11" t="n">
        <v>23</v>
      </c>
      <c r="L32" s="11" t="n">
        <v>22</v>
      </c>
      <c r="M32" s="12">
        <f>SUM(I32:L32)</f>
        <v/>
      </c>
      <c r="N32" s="8">
        <f>IF(AND(H32=100,M32=100),"VÁLIDO","ERROR")</f>
        <v/>
      </c>
    </row>
    <row r="33">
      <c r="A33" s="4" t="inlineStr">
        <is>
          <t>R05</t>
        </is>
      </c>
      <c r="B33" s="5" t="inlineStr">
        <is>
          <t>Administracion</t>
        </is>
      </c>
      <c r="C33" s="5" t="inlineStr">
        <is>
          <t>Enfasis estrategico</t>
        </is>
      </c>
      <c r="D33" s="6" t="n">
        <v>18</v>
      </c>
      <c r="E33" s="6" t="n">
        <v>8</v>
      </c>
      <c r="F33" s="6" t="n">
        <v>25</v>
      </c>
      <c r="G33" s="6" t="n">
        <v>49</v>
      </c>
      <c r="H33" s="7">
        <f>SUM(D33:G33)</f>
        <v/>
      </c>
      <c r="I33" s="6" t="n">
        <v>27</v>
      </c>
      <c r="J33" s="6" t="n">
        <v>31</v>
      </c>
      <c r="K33" s="6" t="n">
        <v>24</v>
      </c>
      <c r="L33" s="6" t="n">
        <v>18</v>
      </c>
      <c r="M33" s="7">
        <f>SUM(I33:L33)</f>
        <v/>
      </c>
      <c r="N33" s="8">
        <f>IF(AND(H33=100,M33=100),"VÁLIDO","ERROR")</f>
        <v/>
      </c>
    </row>
    <row r="34">
      <c r="A34" s="9" t="inlineStr">
        <is>
          <t>R05</t>
        </is>
      </c>
      <c r="B34" s="10" t="inlineStr">
        <is>
          <t>Administracion</t>
        </is>
      </c>
      <c r="C34" s="10" t="inlineStr">
        <is>
          <t>Criterio de exito</t>
        </is>
      </c>
      <c r="D34" s="11" t="n">
        <v>10</v>
      </c>
      <c r="E34" s="11" t="n">
        <v>11</v>
      </c>
      <c r="F34" s="11" t="n">
        <v>26</v>
      </c>
      <c r="G34" s="11" t="n">
        <v>53</v>
      </c>
      <c r="H34" s="12">
        <f>SUM(D34:G34)</f>
        <v/>
      </c>
      <c r="I34" s="11" t="n">
        <v>26</v>
      </c>
      <c r="J34" s="11" t="n">
        <v>28</v>
      </c>
      <c r="K34" s="11" t="n">
        <v>27</v>
      </c>
      <c r="L34" s="11" t="n">
        <v>19</v>
      </c>
      <c r="M34" s="12">
        <f>SUM(I34:L34)</f>
        <v/>
      </c>
      <c r="N34" s="8">
        <f>IF(AND(H34=100,M34=100),"VÁLIDO","ERROR")</f>
        <v/>
      </c>
    </row>
    <row r="35">
      <c r="A35" s="4" t="inlineStr">
        <is>
          <t>R06</t>
        </is>
      </c>
      <c r="B35" s="5" t="inlineStr">
        <is>
          <t>Ventas</t>
        </is>
      </c>
      <c r="C35" s="5" t="inlineStr">
        <is>
          <t>Caracteristicas dominantes</t>
        </is>
      </c>
      <c r="D35" s="6" t="n">
        <v>11</v>
      </c>
      <c r="E35" s="6" t="n">
        <v>7</v>
      </c>
      <c r="F35" s="6" t="n">
        <v>56</v>
      </c>
      <c r="G35" s="6" t="n">
        <v>26</v>
      </c>
      <c r="H35" s="7">
        <f>SUM(D35:G35)</f>
        <v/>
      </c>
      <c r="I35" s="6" t="n">
        <v>20</v>
      </c>
      <c r="J35" s="6" t="n">
        <v>33</v>
      </c>
      <c r="K35" s="6" t="n">
        <v>23</v>
      </c>
      <c r="L35" s="6" t="n">
        <v>24</v>
      </c>
      <c r="M35" s="7">
        <f>SUM(I35:L35)</f>
        <v/>
      </c>
      <c r="N35" s="8">
        <f>IF(AND(H35=100,M35=100),"VÁLIDO","ERROR")</f>
        <v/>
      </c>
    </row>
    <row r="36">
      <c r="A36" s="9" t="inlineStr">
        <is>
          <t>R06</t>
        </is>
      </c>
      <c r="B36" s="10" t="inlineStr">
        <is>
          <t>Ventas</t>
        </is>
      </c>
      <c r="C36" s="10" t="inlineStr">
        <is>
          <t>Liderazgo</t>
        </is>
      </c>
      <c r="D36" s="11" t="n">
        <v>11</v>
      </c>
      <c r="E36" s="11" t="n">
        <v>15</v>
      </c>
      <c r="F36" s="11" t="n">
        <v>50</v>
      </c>
      <c r="G36" s="11" t="n">
        <v>24</v>
      </c>
      <c r="H36" s="12">
        <f>SUM(D36:G36)</f>
        <v/>
      </c>
      <c r="I36" s="11" t="n">
        <v>21</v>
      </c>
      <c r="J36" s="11" t="n">
        <v>30</v>
      </c>
      <c r="K36" s="11" t="n">
        <v>30</v>
      </c>
      <c r="L36" s="11" t="n">
        <v>19</v>
      </c>
      <c r="M36" s="12">
        <f>SUM(I36:L36)</f>
        <v/>
      </c>
      <c r="N36" s="8">
        <f>IF(AND(H36=100,M36=100),"VÁLIDO","ERROR")</f>
        <v/>
      </c>
    </row>
    <row r="37">
      <c r="A37" s="4" t="inlineStr">
        <is>
          <t>R06</t>
        </is>
      </c>
      <c r="B37" s="5" t="inlineStr">
        <is>
          <t>Ventas</t>
        </is>
      </c>
      <c r="C37" s="5" t="inlineStr">
        <is>
          <t>Gestion del personal</t>
        </is>
      </c>
      <c r="D37" s="6" t="n">
        <v>10</v>
      </c>
      <c r="E37" s="6" t="n">
        <v>12</v>
      </c>
      <c r="F37" s="6" t="n">
        <v>53</v>
      </c>
      <c r="G37" s="6" t="n">
        <v>25</v>
      </c>
      <c r="H37" s="7">
        <f>SUM(D37:G37)</f>
        <v/>
      </c>
      <c r="I37" s="6" t="n">
        <v>15</v>
      </c>
      <c r="J37" s="6" t="n">
        <v>34</v>
      </c>
      <c r="K37" s="6" t="n">
        <v>29</v>
      </c>
      <c r="L37" s="6" t="n">
        <v>22</v>
      </c>
      <c r="M37" s="7">
        <f>SUM(I37:L37)</f>
        <v/>
      </c>
      <c r="N37" s="8">
        <f>IF(AND(H37=100,M37=100),"VÁLIDO","ERROR")</f>
        <v/>
      </c>
    </row>
    <row r="38">
      <c r="A38" s="9" t="inlineStr">
        <is>
          <t>R06</t>
        </is>
      </c>
      <c r="B38" s="10" t="inlineStr">
        <is>
          <t>Ventas</t>
        </is>
      </c>
      <c r="C38" s="10" t="inlineStr">
        <is>
          <t>Cohesion</t>
        </is>
      </c>
      <c r="D38" s="11" t="n">
        <v>10</v>
      </c>
      <c r="E38" s="11" t="n">
        <v>16</v>
      </c>
      <c r="F38" s="11" t="n">
        <v>55</v>
      </c>
      <c r="G38" s="11" t="n">
        <v>19</v>
      </c>
      <c r="H38" s="12">
        <f>SUM(D38:G38)</f>
        <v/>
      </c>
      <c r="I38" s="11" t="n">
        <v>16</v>
      </c>
      <c r="J38" s="11" t="n">
        <v>33</v>
      </c>
      <c r="K38" s="11" t="n">
        <v>27</v>
      </c>
      <c r="L38" s="11" t="n">
        <v>24</v>
      </c>
      <c r="M38" s="12">
        <f>SUM(I38:L38)</f>
        <v/>
      </c>
      <c r="N38" s="8">
        <f>IF(AND(H38=100,M38=100),"VÁLIDO","ERROR")</f>
        <v/>
      </c>
    </row>
    <row r="39">
      <c r="A39" s="4" t="inlineStr">
        <is>
          <t>R06</t>
        </is>
      </c>
      <c r="B39" s="5" t="inlineStr">
        <is>
          <t>Ventas</t>
        </is>
      </c>
      <c r="C39" s="5" t="inlineStr">
        <is>
          <t>Enfasis estrategico</t>
        </is>
      </c>
      <c r="D39" s="6" t="n">
        <v>11</v>
      </c>
      <c r="E39" s="6" t="n">
        <v>11</v>
      </c>
      <c r="F39" s="6" t="n">
        <v>56</v>
      </c>
      <c r="G39" s="6" t="n">
        <v>22</v>
      </c>
      <c r="H39" s="7">
        <f>SUM(D39:G39)</f>
        <v/>
      </c>
      <c r="I39" s="6" t="n">
        <v>20</v>
      </c>
      <c r="J39" s="6" t="n">
        <v>33</v>
      </c>
      <c r="K39" s="6" t="n">
        <v>27</v>
      </c>
      <c r="L39" s="6" t="n">
        <v>20</v>
      </c>
      <c r="M39" s="7">
        <f>SUM(I39:L39)</f>
        <v/>
      </c>
      <c r="N39" s="8">
        <f>IF(AND(H39=100,M39=100),"VÁLIDO","ERROR")</f>
        <v/>
      </c>
    </row>
    <row r="40">
      <c r="A40" s="9" t="inlineStr">
        <is>
          <t>R06</t>
        </is>
      </c>
      <c r="B40" s="10" t="inlineStr">
        <is>
          <t>Ventas</t>
        </is>
      </c>
      <c r="C40" s="10" t="inlineStr">
        <is>
          <t>Criterio de exito</t>
        </is>
      </c>
      <c r="D40" s="11" t="n">
        <v>13</v>
      </c>
      <c r="E40" s="11" t="n">
        <v>10</v>
      </c>
      <c r="F40" s="11" t="n">
        <v>55</v>
      </c>
      <c r="G40" s="11" t="n">
        <v>22</v>
      </c>
      <c r="H40" s="12">
        <f>SUM(D40:G40)</f>
        <v/>
      </c>
      <c r="I40" s="11" t="n">
        <v>24</v>
      </c>
      <c r="J40" s="11" t="n">
        <v>25</v>
      </c>
      <c r="K40" s="11" t="n">
        <v>27</v>
      </c>
      <c r="L40" s="11" t="n">
        <v>24</v>
      </c>
      <c r="M40" s="12">
        <f>SUM(I40:L40)</f>
        <v/>
      </c>
      <c r="N40" s="8">
        <f>IF(AND(H40=100,M40=100),"VÁLIDO","ERROR")</f>
        <v/>
      </c>
    </row>
    <row r="41">
      <c r="A41" s="4" t="inlineStr">
        <is>
          <t>R07</t>
        </is>
      </c>
      <c r="B41" s="5" t="inlineStr">
        <is>
          <t>Ventas</t>
        </is>
      </c>
      <c r="C41" s="5" t="inlineStr">
        <is>
          <t>Caracteristicas dominantes</t>
        </is>
      </c>
      <c r="D41" s="6" t="n">
        <v>18</v>
      </c>
      <c r="E41" s="6" t="n">
        <v>14</v>
      </c>
      <c r="F41" s="6" t="n">
        <v>48</v>
      </c>
      <c r="G41" s="6" t="n">
        <v>20</v>
      </c>
      <c r="H41" s="7">
        <f>SUM(D41:G41)</f>
        <v/>
      </c>
      <c r="I41" s="6" t="n">
        <v>18</v>
      </c>
      <c r="J41" s="6" t="n">
        <v>29</v>
      </c>
      <c r="K41" s="6" t="n">
        <v>31</v>
      </c>
      <c r="L41" s="6" t="n">
        <v>22</v>
      </c>
      <c r="M41" s="7">
        <f>SUM(I41:L41)</f>
        <v/>
      </c>
      <c r="N41" s="8">
        <f>IF(AND(H41=100,M41=100),"VÁLIDO","ERROR")</f>
        <v/>
      </c>
    </row>
    <row r="42">
      <c r="A42" s="9" t="inlineStr">
        <is>
          <t>R07</t>
        </is>
      </c>
      <c r="B42" s="10" t="inlineStr">
        <is>
          <t>Ventas</t>
        </is>
      </c>
      <c r="C42" s="10" t="inlineStr">
        <is>
          <t>Liderazgo</t>
        </is>
      </c>
      <c r="D42" s="11" t="n">
        <v>14</v>
      </c>
      <c r="E42" s="11" t="n">
        <v>7</v>
      </c>
      <c r="F42" s="11" t="n">
        <v>59</v>
      </c>
      <c r="G42" s="11" t="n">
        <v>20</v>
      </c>
      <c r="H42" s="12">
        <f>SUM(D42:G42)</f>
        <v/>
      </c>
      <c r="I42" s="11" t="n">
        <v>21</v>
      </c>
      <c r="J42" s="11" t="n">
        <v>31</v>
      </c>
      <c r="K42" s="11" t="n">
        <v>25</v>
      </c>
      <c r="L42" s="11" t="n">
        <v>23</v>
      </c>
      <c r="M42" s="12">
        <f>SUM(I42:L42)</f>
        <v/>
      </c>
      <c r="N42" s="8">
        <f>IF(AND(H42=100,M42=100),"VÁLIDO","ERROR")</f>
        <v/>
      </c>
    </row>
    <row r="43">
      <c r="A43" s="4" t="inlineStr">
        <is>
          <t>R07</t>
        </is>
      </c>
      <c r="B43" s="5" t="inlineStr">
        <is>
          <t>Ventas</t>
        </is>
      </c>
      <c r="C43" s="5" t="inlineStr">
        <is>
          <t>Gestion del personal</t>
        </is>
      </c>
      <c r="D43" s="6" t="n">
        <v>12</v>
      </c>
      <c r="E43" s="6" t="n">
        <v>11</v>
      </c>
      <c r="F43" s="6" t="n">
        <v>61</v>
      </c>
      <c r="G43" s="6" t="n">
        <v>16</v>
      </c>
      <c r="H43" s="7">
        <f>SUM(D43:G43)</f>
        <v/>
      </c>
      <c r="I43" s="6" t="n">
        <v>18</v>
      </c>
      <c r="J43" s="6" t="n">
        <v>35</v>
      </c>
      <c r="K43" s="6" t="n">
        <v>28</v>
      </c>
      <c r="L43" s="6" t="n">
        <v>19</v>
      </c>
      <c r="M43" s="7">
        <f>SUM(I43:L43)</f>
        <v/>
      </c>
      <c r="N43" s="8">
        <f>IF(AND(H43=100,M43=100),"VÁLIDO","ERROR")</f>
        <v/>
      </c>
    </row>
    <row r="44">
      <c r="A44" s="9" t="inlineStr">
        <is>
          <t>R07</t>
        </is>
      </c>
      <c r="B44" s="10" t="inlineStr">
        <is>
          <t>Ventas</t>
        </is>
      </c>
      <c r="C44" s="10" t="inlineStr">
        <is>
          <t>Cohesion</t>
        </is>
      </c>
      <c r="D44" s="11" t="n">
        <v>20</v>
      </c>
      <c r="E44" s="11" t="n">
        <v>8</v>
      </c>
      <c r="F44" s="11" t="n">
        <v>56</v>
      </c>
      <c r="G44" s="11" t="n">
        <v>16</v>
      </c>
      <c r="H44" s="12">
        <f>SUM(D44:G44)</f>
        <v/>
      </c>
      <c r="I44" s="11" t="n">
        <v>17</v>
      </c>
      <c r="J44" s="11" t="n">
        <v>27</v>
      </c>
      <c r="K44" s="11" t="n">
        <v>33</v>
      </c>
      <c r="L44" s="11" t="n">
        <v>23</v>
      </c>
      <c r="M44" s="12">
        <f>SUM(I44:L44)</f>
        <v/>
      </c>
      <c r="N44" s="8">
        <f>IF(AND(H44=100,M44=100),"VÁLIDO","ERROR")</f>
        <v/>
      </c>
    </row>
    <row r="45">
      <c r="A45" s="4" t="inlineStr">
        <is>
          <t>R07</t>
        </is>
      </c>
      <c r="B45" s="5" t="inlineStr">
        <is>
          <t>Ventas</t>
        </is>
      </c>
      <c r="C45" s="5" t="inlineStr">
        <is>
          <t>Enfasis estrategico</t>
        </is>
      </c>
      <c r="D45" s="6" t="n">
        <v>17</v>
      </c>
      <c r="E45" s="6" t="n">
        <v>6</v>
      </c>
      <c r="F45" s="6" t="n">
        <v>54</v>
      </c>
      <c r="G45" s="6" t="n">
        <v>23</v>
      </c>
      <c r="H45" s="7">
        <f>SUM(D45:G45)</f>
        <v/>
      </c>
      <c r="I45" s="6" t="n">
        <v>18</v>
      </c>
      <c r="J45" s="6" t="n">
        <v>33</v>
      </c>
      <c r="K45" s="6" t="n">
        <v>31</v>
      </c>
      <c r="L45" s="6" t="n">
        <v>18</v>
      </c>
      <c r="M45" s="7">
        <f>SUM(I45:L45)</f>
        <v/>
      </c>
      <c r="N45" s="8">
        <f>IF(AND(H45=100,M45=100),"VÁLIDO","ERROR")</f>
        <v/>
      </c>
    </row>
    <row r="46">
      <c r="A46" s="9" t="inlineStr">
        <is>
          <t>R07</t>
        </is>
      </c>
      <c r="B46" s="10" t="inlineStr">
        <is>
          <t>Ventas</t>
        </is>
      </c>
      <c r="C46" s="10" t="inlineStr">
        <is>
          <t>Criterio de exito</t>
        </is>
      </c>
      <c r="D46" s="11" t="n">
        <v>17</v>
      </c>
      <c r="E46" s="11" t="n">
        <v>12</v>
      </c>
      <c r="F46" s="11" t="n">
        <v>47</v>
      </c>
      <c r="G46" s="11" t="n">
        <v>24</v>
      </c>
      <c r="H46" s="12">
        <f>SUM(D46:G46)</f>
        <v/>
      </c>
      <c r="I46" s="11" t="n">
        <v>20</v>
      </c>
      <c r="J46" s="11" t="n">
        <v>32</v>
      </c>
      <c r="K46" s="11" t="n">
        <v>22</v>
      </c>
      <c r="L46" s="11" t="n">
        <v>26</v>
      </c>
      <c r="M46" s="12">
        <f>SUM(I46:L46)</f>
        <v/>
      </c>
      <c r="N46" s="8">
        <f>IF(AND(H46=100,M46=100),"VÁLIDO","ERROR")</f>
        <v/>
      </c>
    </row>
    <row r="47">
      <c r="A47" s="4" t="inlineStr">
        <is>
          <t>R08</t>
        </is>
      </c>
      <c r="B47" s="5" t="inlineStr">
        <is>
          <t>Ventas</t>
        </is>
      </c>
      <c r="C47" s="5" t="inlineStr">
        <is>
          <t>Caracteristicas dominantes</t>
        </is>
      </c>
      <c r="D47" s="6" t="n">
        <v>17</v>
      </c>
      <c r="E47" s="6" t="n">
        <v>8</v>
      </c>
      <c r="F47" s="6" t="n">
        <v>49</v>
      </c>
      <c r="G47" s="6" t="n">
        <v>26</v>
      </c>
      <c r="H47" s="7">
        <f>SUM(D47:G47)</f>
        <v/>
      </c>
      <c r="I47" s="6" t="n">
        <v>22</v>
      </c>
      <c r="J47" s="6" t="n">
        <v>27</v>
      </c>
      <c r="K47" s="6" t="n">
        <v>25</v>
      </c>
      <c r="L47" s="6" t="n">
        <v>26</v>
      </c>
      <c r="M47" s="7">
        <f>SUM(I47:L47)</f>
        <v/>
      </c>
      <c r="N47" s="8">
        <f>IF(AND(H47=100,M47=100),"VÁLIDO","ERROR")</f>
        <v/>
      </c>
    </row>
    <row r="48">
      <c r="A48" s="9" t="inlineStr">
        <is>
          <t>R08</t>
        </is>
      </c>
      <c r="B48" s="10" t="inlineStr">
        <is>
          <t>Ventas</t>
        </is>
      </c>
      <c r="C48" s="10" t="inlineStr">
        <is>
          <t>Liderazgo</t>
        </is>
      </c>
      <c r="D48" s="11" t="n">
        <v>13</v>
      </c>
      <c r="E48" s="11" t="n">
        <v>14</v>
      </c>
      <c r="F48" s="11" t="n">
        <v>51</v>
      </c>
      <c r="G48" s="11" t="n">
        <v>22</v>
      </c>
      <c r="H48" s="12">
        <f>SUM(D48:G48)</f>
        <v/>
      </c>
      <c r="I48" s="11" t="n">
        <v>23</v>
      </c>
      <c r="J48" s="11" t="n">
        <v>33</v>
      </c>
      <c r="K48" s="11" t="n">
        <v>26</v>
      </c>
      <c r="L48" s="11" t="n">
        <v>18</v>
      </c>
      <c r="M48" s="12">
        <f>SUM(I48:L48)</f>
        <v/>
      </c>
      <c r="N48" s="8">
        <f>IF(AND(H48=100,M48=100),"VÁLIDO","ERROR")</f>
        <v/>
      </c>
    </row>
    <row r="49">
      <c r="A49" s="4" t="inlineStr">
        <is>
          <t>R08</t>
        </is>
      </c>
      <c r="B49" s="5" t="inlineStr">
        <is>
          <t>Ventas</t>
        </is>
      </c>
      <c r="C49" s="5" t="inlineStr">
        <is>
          <t>Gestion del personal</t>
        </is>
      </c>
      <c r="D49" s="6" t="n">
        <v>8</v>
      </c>
      <c r="E49" s="6" t="n">
        <v>11</v>
      </c>
      <c r="F49" s="6" t="n">
        <v>62</v>
      </c>
      <c r="G49" s="6" t="n">
        <v>19</v>
      </c>
      <c r="H49" s="7">
        <f>SUM(D49:G49)</f>
        <v/>
      </c>
      <c r="I49" s="6" t="n">
        <v>19</v>
      </c>
      <c r="J49" s="6" t="n">
        <v>32</v>
      </c>
      <c r="K49" s="6" t="n">
        <v>28</v>
      </c>
      <c r="L49" s="6" t="n">
        <v>21</v>
      </c>
      <c r="M49" s="7">
        <f>SUM(I49:L49)</f>
        <v/>
      </c>
      <c r="N49" s="8">
        <f>IF(AND(H49=100,M49=100),"VÁLIDO","ERROR")</f>
        <v/>
      </c>
    </row>
    <row r="50">
      <c r="A50" s="9" t="inlineStr">
        <is>
          <t>R08</t>
        </is>
      </c>
      <c r="B50" s="10" t="inlineStr">
        <is>
          <t>Ventas</t>
        </is>
      </c>
      <c r="C50" s="10" t="inlineStr">
        <is>
          <t>Cohesion</t>
        </is>
      </c>
      <c r="D50" s="11" t="n">
        <v>13</v>
      </c>
      <c r="E50" s="11" t="n">
        <v>6</v>
      </c>
      <c r="F50" s="11" t="n">
        <v>56</v>
      </c>
      <c r="G50" s="11" t="n">
        <v>25</v>
      </c>
      <c r="H50" s="12">
        <f>SUM(D50:G50)</f>
        <v/>
      </c>
      <c r="I50" s="11" t="n">
        <v>21</v>
      </c>
      <c r="J50" s="11" t="n">
        <v>31</v>
      </c>
      <c r="K50" s="11" t="n">
        <v>26</v>
      </c>
      <c r="L50" s="11" t="n">
        <v>22</v>
      </c>
      <c r="M50" s="12">
        <f>SUM(I50:L50)</f>
        <v/>
      </c>
      <c r="N50" s="8">
        <f>IF(AND(H50=100,M50=100),"VÁLIDO","ERROR")</f>
        <v/>
      </c>
    </row>
    <row r="51">
      <c r="A51" s="4" t="inlineStr">
        <is>
          <t>R08</t>
        </is>
      </c>
      <c r="B51" s="5" t="inlineStr">
        <is>
          <t>Ventas</t>
        </is>
      </c>
      <c r="C51" s="5" t="inlineStr">
        <is>
          <t>Enfasis estrategico</t>
        </is>
      </c>
      <c r="D51" s="6" t="n">
        <v>16</v>
      </c>
      <c r="E51" s="6" t="n">
        <v>9</v>
      </c>
      <c r="F51" s="6" t="n">
        <v>50</v>
      </c>
      <c r="G51" s="6" t="n">
        <v>25</v>
      </c>
      <c r="H51" s="7">
        <f>SUM(D51:G51)</f>
        <v/>
      </c>
      <c r="I51" s="6" t="n">
        <v>20</v>
      </c>
      <c r="J51" s="6" t="n">
        <v>28</v>
      </c>
      <c r="K51" s="6" t="n">
        <v>32</v>
      </c>
      <c r="L51" s="6" t="n">
        <v>20</v>
      </c>
      <c r="M51" s="7">
        <f>SUM(I51:L51)</f>
        <v/>
      </c>
      <c r="N51" s="8">
        <f>IF(AND(H51=100,M51=100),"VÁLIDO","ERROR")</f>
        <v/>
      </c>
    </row>
    <row r="52">
      <c r="A52" s="9" t="inlineStr">
        <is>
          <t>R08</t>
        </is>
      </c>
      <c r="B52" s="10" t="inlineStr">
        <is>
          <t>Ventas</t>
        </is>
      </c>
      <c r="C52" s="10" t="inlineStr">
        <is>
          <t>Criterio de exito</t>
        </is>
      </c>
      <c r="D52" s="11" t="n">
        <v>17</v>
      </c>
      <c r="E52" s="11" t="n">
        <v>13</v>
      </c>
      <c r="F52" s="11" t="n">
        <v>52</v>
      </c>
      <c r="G52" s="11" t="n">
        <v>18</v>
      </c>
      <c r="H52" s="12">
        <f>SUM(D52:G52)</f>
        <v/>
      </c>
      <c r="I52" s="11" t="n">
        <v>26</v>
      </c>
      <c r="J52" s="11" t="n">
        <v>26</v>
      </c>
      <c r="K52" s="11" t="n">
        <v>27</v>
      </c>
      <c r="L52" s="11" t="n">
        <v>21</v>
      </c>
      <c r="M52" s="12">
        <f>SUM(I52:L52)</f>
        <v/>
      </c>
      <c r="N52" s="8">
        <f>IF(AND(H52=100,M52=100),"VÁLIDO","ERROR")</f>
        <v/>
      </c>
    </row>
    <row r="53">
      <c r="A53" s="4" t="inlineStr">
        <is>
          <t>R09</t>
        </is>
      </c>
      <c r="B53" s="5" t="inlineStr">
        <is>
          <t>Ventas</t>
        </is>
      </c>
      <c r="C53" s="5" t="inlineStr">
        <is>
          <t>Caracteristicas dominantes</t>
        </is>
      </c>
      <c r="D53" s="6" t="n">
        <v>11</v>
      </c>
      <c r="E53" s="6" t="n">
        <v>11</v>
      </c>
      <c r="F53" s="6" t="n">
        <v>58</v>
      </c>
      <c r="G53" s="6" t="n">
        <v>20</v>
      </c>
      <c r="H53" s="7">
        <f>SUM(D53:G53)</f>
        <v/>
      </c>
      <c r="I53" s="6" t="n">
        <v>18</v>
      </c>
      <c r="J53" s="6" t="n">
        <v>29</v>
      </c>
      <c r="K53" s="6" t="n">
        <v>26</v>
      </c>
      <c r="L53" s="6" t="n">
        <v>27</v>
      </c>
      <c r="M53" s="7">
        <f>SUM(I53:L53)</f>
        <v/>
      </c>
      <c r="N53" s="8">
        <f>IF(AND(H53=100,M53=100),"VÁLIDO","ERROR")</f>
        <v/>
      </c>
    </row>
    <row r="54">
      <c r="A54" s="9" t="inlineStr">
        <is>
          <t>R09</t>
        </is>
      </c>
      <c r="B54" s="10" t="inlineStr">
        <is>
          <t>Ventas</t>
        </is>
      </c>
      <c r="C54" s="10" t="inlineStr">
        <is>
          <t>Liderazgo</t>
        </is>
      </c>
      <c r="D54" s="11" t="n">
        <v>10</v>
      </c>
      <c r="E54" s="11" t="n">
        <v>14</v>
      </c>
      <c r="F54" s="11" t="n">
        <v>55</v>
      </c>
      <c r="G54" s="11" t="n">
        <v>21</v>
      </c>
      <c r="H54" s="12">
        <f>SUM(D54:G54)</f>
        <v/>
      </c>
      <c r="I54" s="11" t="n">
        <v>21</v>
      </c>
      <c r="J54" s="11" t="n">
        <v>28</v>
      </c>
      <c r="K54" s="11" t="n">
        <v>28</v>
      </c>
      <c r="L54" s="11" t="n">
        <v>23</v>
      </c>
      <c r="M54" s="12">
        <f>SUM(I54:L54)</f>
        <v/>
      </c>
      <c r="N54" s="8">
        <f>IF(AND(H54=100,M54=100),"VÁLIDO","ERROR")</f>
        <v/>
      </c>
    </row>
    <row r="55">
      <c r="A55" s="4" t="inlineStr">
        <is>
          <t>R09</t>
        </is>
      </c>
      <c r="B55" s="5" t="inlineStr">
        <is>
          <t>Ventas</t>
        </is>
      </c>
      <c r="C55" s="5" t="inlineStr">
        <is>
          <t>Gestion del personal</t>
        </is>
      </c>
      <c r="D55" s="6" t="n">
        <v>19</v>
      </c>
      <c r="E55" s="6" t="n">
        <v>8</v>
      </c>
      <c r="F55" s="6" t="n">
        <v>48</v>
      </c>
      <c r="G55" s="6" t="n">
        <v>25</v>
      </c>
      <c r="H55" s="7">
        <f>SUM(D55:G55)</f>
        <v/>
      </c>
      <c r="I55" s="6" t="n">
        <v>13</v>
      </c>
      <c r="J55" s="6" t="n">
        <v>32</v>
      </c>
      <c r="K55" s="6" t="n">
        <v>32</v>
      </c>
      <c r="L55" s="6" t="n">
        <v>23</v>
      </c>
      <c r="M55" s="7">
        <f>SUM(I55:L55)</f>
        <v/>
      </c>
      <c r="N55" s="8">
        <f>IF(AND(H55=100,M55=100),"VÁLIDO","ERROR")</f>
        <v/>
      </c>
    </row>
    <row r="56">
      <c r="A56" s="9" t="inlineStr">
        <is>
          <t>R09</t>
        </is>
      </c>
      <c r="B56" s="10" t="inlineStr">
        <is>
          <t>Ventas</t>
        </is>
      </c>
      <c r="C56" s="10" t="inlineStr">
        <is>
          <t>Cohesion</t>
        </is>
      </c>
      <c r="D56" s="11" t="n">
        <v>15</v>
      </c>
      <c r="E56" s="11" t="n">
        <v>16</v>
      </c>
      <c r="F56" s="11" t="n">
        <v>53</v>
      </c>
      <c r="G56" s="11" t="n">
        <v>16</v>
      </c>
      <c r="H56" s="12">
        <f>SUM(D56:G56)</f>
        <v/>
      </c>
      <c r="I56" s="11" t="n">
        <v>20</v>
      </c>
      <c r="J56" s="11" t="n">
        <v>28</v>
      </c>
      <c r="K56" s="11" t="n">
        <v>29</v>
      </c>
      <c r="L56" s="11" t="n">
        <v>23</v>
      </c>
      <c r="M56" s="12">
        <f>SUM(I56:L56)</f>
        <v/>
      </c>
      <c r="N56" s="8">
        <f>IF(AND(H56=100,M56=100),"VÁLIDO","ERROR")</f>
        <v/>
      </c>
    </row>
    <row r="57">
      <c r="A57" s="4" t="inlineStr">
        <is>
          <t>R09</t>
        </is>
      </c>
      <c r="B57" s="5" t="inlineStr">
        <is>
          <t>Ventas</t>
        </is>
      </c>
      <c r="C57" s="5" t="inlineStr">
        <is>
          <t>Enfasis estrategico</t>
        </is>
      </c>
      <c r="D57" s="6" t="n">
        <v>10</v>
      </c>
      <c r="E57" s="6" t="n">
        <v>15</v>
      </c>
      <c r="F57" s="6" t="n">
        <v>57</v>
      </c>
      <c r="G57" s="6" t="n">
        <v>18</v>
      </c>
      <c r="H57" s="7">
        <f>SUM(D57:G57)</f>
        <v/>
      </c>
      <c r="I57" s="6" t="n">
        <v>19</v>
      </c>
      <c r="J57" s="6" t="n">
        <v>32</v>
      </c>
      <c r="K57" s="6" t="n">
        <v>30</v>
      </c>
      <c r="L57" s="6" t="n">
        <v>19</v>
      </c>
      <c r="M57" s="7">
        <f>SUM(I57:L57)</f>
        <v/>
      </c>
      <c r="N57" s="8">
        <f>IF(AND(H57=100,M57=100),"VÁLIDO","ERROR")</f>
        <v/>
      </c>
    </row>
    <row r="58">
      <c r="A58" s="9" t="inlineStr">
        <is>
          <t>R09</t>
        </is>
      </c>
      <c r="B58" s="10" t="inlineStr">
        <is>
          <t>Ventas</t>
        </is>
      </c>
      <c r="C58" s="10" t="inlineStr">
        <is>
          <t>Criterio de exito</t>
        </is>
      </c>
      <c r="D58" s="11" t="n">
        <v>9</v>
      </c>
      <c r="E58" s="11" t="n">
        <v>7</v>
      </c>
      <c r="F58" s="11" t="n">
        <v>55</v>
      </c>
      <c r="G58" s="11" t="n">
        <v>29</v>
      </c>
      <c r="H58" s="12">
        <f>SUM(D58:G58)</f>
        <v/>
      </c>
      <c r="I58" s="11" t="n">
        <v>25</v>
      </c>
      <c r="J58" s="11" t="n">
        <v>30</v>
      </c>
      <c r="K58" s="11" t="n">
        <v>26</v>
      </c>
      <c r="L58" s="11" t="n">
        <v>19</v>
      </c>
      <c r="M58" s="12">
        <f>SUM(I58:L58)</f>
        <v/>
      </c>
      <c r="N58" s="8">
        <f>IF(AND(H58=100,M58=100),"VÁLIDO","ERROR")</f>
        <v/>
      </c>
    </row>
    <row r="59">
      <c r="A59" s="4" t="inlineStr">
        <is>
          <t>R10</t>
        </is>
      </c>
      <c r="B59" s="5" t="inlineStr">
        <is>
          <t>Ventas</t>
        </is>
      </c>
      <c r="C59" s="5" t="inlineStr">
        <is>
          <t>Caracteristicas dominantes</t>
        </is>
      </c>
      <c r="D59" s="6" t="n">
        <v>12</v>
      </c>
      <c r="E59" s="6" t="n">
        <v>10</v>
      </c>
      <c r="F59" s="6" t="n">
        <v>54</v>
      </c>
      <c r="G59" s="6" t="n">
        <v>24</v>
      </c>
      <c r="H59" s="7">
        <f>SUM(D59:G59)</f>
        <v/>
      </c>
      <c r="I59" s="6" t="n">
        <v>22</v>
      </c>
      <c r="J59" s="6" t="n">
        <v>30</v>
      </c>
      <c r="K59" s="6" t="n">
        <v>28</v>
      </c>
      <c r="L59" s="6" t="n">
        <v>20</v>
      </c>
      <c r="M59" s="7">
        <f>SUM(I59:L59)</f>
        <v/>
      </c>
      <c r="N59" s="8">
        <f>IF(AND(H59=100,M59=100),"VÁLIDO","ERROR")</f>
        <v/>
      </c>
    </row>
    <row r="60">
      <c r="A60" s="9" t="inlineStr">
        <is>
          <t>R10</t>
        </is>
      </c>
      <c r="B60" s="10" t="inlineStr">
        <is>
          <t>Ventas</t>
        </is>
      </c>
      <c r="C60" s="10" t="inlineStr">
        <is>
          <t>Liderazgo</t>
        </is>
      </c>
      <c r="D60" s="11" t="n">
        <v>11</v>
      </c>
      <c r="E60" s="11" t="n">
        <v>13</v>
      </c>
      <c r="F60" s="11" t="n">
        <v>58</v>
      </c>
      <c r="G60" s="11" t="n">
        <v>18</v>
      </c>
      <c r="H60" s="12">
        <f>SUM(D60:G60)</f>
        <v/>
      </c>
      <c r="I60" s="11" t="n">
        <v>18</v>
      </c>
      <c r="J60" s="11" t="n">
        <v>34</v>
      </c>
      <c r="K60" s="11" t="n">
        <v>29</v>
      </c>
      <c r="L60" s="11" t="n">
        <v>19</v>
      </c>
      <c r="M60" s="12">
        <f>SUM(I60:L60)</f>
        <v/>
      </c>
      <c r="N60" s="8">
        <f>IF(AND(H60=100,M60=100),"VÁLIDO","ERROR")</f>
        <v/>
      </c>
    </row>
    <row r="61">
      <c r="A61" s="4" t="inlineStr">
        <is>
          <t>R10</t>
        </is>
      </c>
      <c r="B61" s="5" t="inlineStr">
        <is>
          <t>Ventas</t>
        </is>
      </c>
      <c r="C61" s="5" t="inlineStr">
        <is>
          <t>Gestion del personal</t>
        </is>
      </c>
      <c r="D61" s="6" t="n">
        <v>17</v>
      </c>
      <c r="E61" s="6" t="n">
        <v>11</v>
      </c>
      <c r="F61" s="6" t="n">
        <v>54</v>
      </c>
      <c r="G61" s="6" t="n">
        <v>18</v>
      </c>
      <c r="H61" s="7">
        <f>SUM(D61:G61)</f>
        <v/>
      </c>
      <c r="I61" s="6" t="n">
        <v>16</v>
      </c>
      <c r="J61" s="6" t="n">
        <v>38</v>
      </c>
      <c r="K61" s="6" t="n">
        <v>28</v>
      </c>
      <c r="L61" s="6" t="n">
        <v>18</v>
      </c>
      <c r="M61" s="7">
        <f>SUM(I61:L61)</f>
        <v/>
      </c>
      <c r="N61" s="8">
        <f>IF(AND(H61=100,M61=100),"VÁLIDO","ERROR")</f>
        <v/>
      </c>
    </row>
    <row r="62">
      <c r="A62" s="9" t="inlineStr">
        <is>
          <t>R10</t>
        </is>
      </c>
      <c r="B62" s="10" t="inlineStr">
        <is>
          <t>Ventas</t>
        </is>
      </c>
      <c r="C62" s="10" t="inlineStr">
        <is>
          <t>Cohesion</t>
        </is>
      </c>
      <c r="D62" s="11" t="n">
        <v>19</v>
      </c>
      <c r="E62" s="11" t="n">
        <v>5</v>
      </c>
      <c r="F62" s="11" t="n">
        <v>48</v>
      </c>
      <c r="G62" s="11" t="n">
        <v>28</v>
      </c>
      <c r="H62" s="12">
        <f>SUM(D62:G62)</f>
        <v/>
      </c>
      <c r="I62" s="11" t="n">
        <v>18</v>
      </c>
      <c r="J62" s="11" t="n">
        <v>33</v>
      </c>
      <c r="K62" s="11" t="n">
        <v>29</v>
      </c>
      <c r="L62" s="11" t="n">
        <v>20</v>
      </c>
      <c r="M62" s="12">
        <f>SUM(I62:L62)</f>
        <v/>
      </c>
      <c r="N62" s="8">
        <f>IF(AND(H62=100,M62=100),"VÁLIDO","ERROR")</f>
        <v/>
      </c>
    </row>
    <row r="63">
      <c r="A63" s="4" t="inlineStr">
        <is>
          <t>R10</t>
        </is>
      </c>
      <c r="B63" s="5" t="inlineStr">
        <is>
          <t>Ventas</t>
        </is>
      </c>
      <c r="C63" s="5" t="inlineStr">
        <is>
          <t>Enfasis estrategico</t>
        </is>
      </c>
      <c r="D63" s="6" t="n">
        <v>8</v>
      </c>
      <c r="E63" s="6" t="n">
        <v>11</v>
      </c>
      <c r="F63" s="6" t="n">
        <v>56</v>
      </c>
      <c r="G63" s="6" t="n">
        <v>25</v>
      </c>
      <c r="H63" s="7">
        <f>SUM(D63:G63)</f>
        <v/>
      </c>
      <c r="I63" s="6" t="n">
        <v>19</v>
      </c>
      <c r="J63" s="6" t="n">
        <v>33</v>
      </c>
      <c r="K63" s="6" t="n">
        <v>28</v>
      </c>
      <c r="L63" s="6" t="n">
        <v>20</v>
      </c>
      <c r="M63" s="7">
        <f>SUM(I63:L63)</f>
        <v/>
      </c>
      <c r="N63" s="8">
        <f>IF(AND(H63=100,M63=100),"VÁLIDO","ERROR")</f>
        <v/>
      </c>
    </row>
    <row r="64">
      <c r="A64" s="9" t="inlineStr">
        <is>
          <t>R10</t>
        </is>
      </c>
      <c r="B64" s="10" t="inlineStr">
        <is>
          <t>Ventas</t>
        </is>
      </c>
      <c r="C64" s="10" t="inlineStr">
        <is>
          <t>Criterio de exito</t>
        </is>
      </c>
      <c r="D64" s="11" t="n">
        <v>14</v>
      </c>
      <c r="E64" s="11" t="n">
        <v>5</v>
      </c>
      <c r="F64" s="11" t="n">
        <v>58</v>
      </c>
      <c r="G64" s="11" t="n">
        <v>23</v>
      </c>
      <c r="H64" s="12">
        <f>SUM(D64:G64)</f>
        <v/>
      </c>
      <c r="I64" s="11" t="n">
        <v>21</v>
      </c>
      <c r="J64" s="11" t="n">
        <v>26</v>
      </c>
      <c r="K64" s="11" t="n">
        <v>29</v>
      </c>
      <c r="L64" s="11" t="n">
        <v>24</v>
      </c>
      <c r="M64" s="12">
        <f>SUM(I64:L64)</f>
        <v/>
      </c>
      <c r="N64" s="8">
        <f>IF(AND(H64=100,M64=100),"VÁLIDO","ERROR")</f>
        <v/>
      </c>
    </row>
    <row r="65">
      <c r="A65" s="4" t="inlineStr">
        <is>
          <t>R11</t>
        </is>
      </c>
      <c r="B65" s="5" t="inlineStr">
        <is>
          <t>TI</t>
        </is>
      </c>
      <c r="C65" s="5" t="inlineStr">
        <is>
          <t>Caracteristicas dominantes</t>
        </is>
      </c>
      <c r="D65" s="6" t="n">
        <v>23</v>
      </c>
      <c r="E65" s="6" t="n">
        <v>39</v>
      </c>
      <c r="F65" s="6" t="n">
        <v>20</v>
      </c>
      <c r="G65" s="6" t="n">
        <v>18</v>
      </c>
      <c r="H65" s="7">
        <f>SUM(D65:G65)</f>
        <v/>
      </c>
      <c r="I65" s="6" t="n">
        <v>24</v>
      </c>
      <c r="J65" s="6" t="n">
        <v>30</v>
      </c>
      <c r="K65" s="6" t="n">
        <v>28</v>
      </c>
      <c r="L65" s="6" t="n">
        <v>18</v>
      </c>
      <c r="M65" s="7">
        <f>SUM(I65:L65)</f>
        <v/>
      </c>
      <c r="N65" s="8">
        <f>IF(AND(H65=100,M65=100),"VÁLIDO","ERROR")</f>
        <v/>
      </c>
    </row>
    <row r="66">
      <c r="A66" s="9" t="inlineStr">
        <is>
          <t>R11</t>
        </is>
      </c>
      <c r="B66" s="10" t="inlineStr">
        <is>
          <t>TI</t>
        </is>
      </c>
      <c r="C66" s="10" t="inlineStr">
        <is>
          <t>Liderazgo</t>
        </is>
      </c>
      <c r="D66" s="11" t="n">
        <v>26</v>
      </c>
      <c r="E66" s="11" t="n">
        <v>32</v>
      </c>
      <c r="F66" s="11" t="n">
        <v>23</v>
      </c>
      <c r="G66" s="11" t="n">
        <v>19</v>
      </c>
      <c r="H66" s="12">
        <f>SUM(D66:G66)</f>
        <v/>
      </c>
      <c r="I66" s="11" t="n">
        <v>28</v>
      </c>
      <c r="J66" s="11" t="n">
        <v>35</v>
      </c>
      <c r="K66" s="11" t="n">
        <v>24</v>
      </c>
      <c r="L66" s="11" t="n">
        <v>13</v>
      </c>
      <c r="M66" s="12">
        <f>SUM(I66:L66)</f>
        <v/>
      </c>
      <c r="N66" s="8">
        <f>IF(AND(H66=100,M66=100),"VÁLIDO","ERROR")</f>
        <v/>
      </c>
    </row>
    <row r="67">
      <c r="A67" s="4" t="inlineStr">
        <is>
          <t>R11</t>
        </is>
      </c>
      <c r="B67" s="5" t="inlineStr">
        <is>
          <t>TI</t>
        </is>
      </c>
      <c r="C67" s="5" t="inlineStr">
        <is>
          <t>Gestion del personal</t>
        </is>
      </c>
      <c r="D67" s="6" t="n">
        <v>24</v>
      </c>
      <c r="E67" s="6" t="n">
        <v>38</v>
      </c>
      <c r="F67" s="6" t="n">
        <v>19</v>
      </c>
      <c r="G67" s="6" t="n">
        <v>19</v>
      </c>
      <c r="H67" s="7">
        <f>SUM(D67:G67)</f>
        <v/>
      </c>
      <c r="I67" s="6" t="n">
        <v>20</v>
      </c>
      <c r="J67" s="6" t="n">
        <v>37</v>
      </c>
      <c r="K67" s="6" t="n">
        <v>28</v>
      </c>
      <c r="L67" s="6" t="n">
        <v>15</v>
      </c>
      <c r="M67" s="7">
        <f>SUM(I67:L67)</f>
        <v/>
      </c>
      <c r="N67" s="8">
        <f>IF(AND(H67=100,M67=100),"VÁLIDO","ERROR")</f>
        <v/>
      </c>
    </row>
    <row r="68">
      <c r="A68" s="9" t="inlineStr">
        <is>
          <t>R11</t>
        </is>
      </c>
      <c r="B68" s="10" t="inlineStr">
        <is>
          <t>TI</t>
        </is>
      </c>
      <c r="C68" s="10" t="inlineStr">
        <is>
          <t>Cohesion</t>
        </is>
      </c>
      <c r="D68" s="11" t="n">
        <v>19</v>
      </c>
      <c r="E68" s="11" t="n">
        <v>36</v>
      </c>
      <c r="F68" s="11" t="n">
        <v>21</v>
      </c>
      <c r="G68" s="11" t="n">
        <v>24</v>
      </c>
      <c r="H68" s="12">
        <f>SUM(D68:G68)</f>
        <v/>
      </c>
      <c r="I68" s="11" t="n">
        <v>20</v>
      </c>
      <c r="J68" s="11" t="n">
        <v>40</v>
      </c>
      <c r="K68" s="11" t="n">
        <v>24</v>
      </c>
      <c r="L68" s="11" t="n">
        <v>16</v>
      </c>
      <c r="M68" s="12">
        <f>SUM(I68:L68)</f>
        <v/>
      </c>
      <c r="N68" s="8">
        <f>IF(AND(H68=100,M68=100),"VÁLIDO","ERROR")</f>
        <v/>
      </c>
    </row>
    <row r="69">
      <c r="A69" s="4" t="inlineStr">
        <is>
          <t>R11</t>
        </is>
      </c>
      <c r="B69" s="5" t="inlineStr">
        <is>
          <t>TI</t>
        </is>
      </c>
      <c r="C69" s="5" t="inlineStr">
        <is>
          <t>Enfasis estrategico</t>
        </is>
      </c>
      <c r="D69" s="6" t="n">
        <v>21</v>
      </c>
      <c r="E69" s="6" t="n">
        <v>35</v>
      </c>
      <c r="F69" s="6" t="n">
        <v>19</v>
      </c>
      <c r="G69" s="6" t="n">
        <v>25</v>
      </c>
      <c r="H69" s="7">
        <f>SUM(D69:G69)</f>
        <v/>
      </c>
      <c r="I69" s="6" t="n">
        <v>21</v>
      </c>
      <c r="J69" s="6" t="n">
        <v>31</v>
      </c>
      <c r="K69" s="6" t="n">
        <v>26</v>
      </c>
      <c r="L69" s="6" t="n">
        <v>22</v>
      </c>
      <c r="M69" s="7">
        <f>SUM(I69:L69)</f>
        <v/>
      </c>
      <c r="N69" s="8">
        <f>IF(AND(H69=100,M69=100),"VÁLIDO","ERROR")</f>
        <v/>
      </c>
    </row>
    <row r="70">
      <c r="A70" s="9" t="inlineStr">
        <is>
          <t>R11</t>
        </is>
      </c>
      <c r="B70" s="10" t="inlineStr">
        <is>
          <t>TI</t>
        </is>
      </c>
      <c r="C70" s="10" t="inlineStr">
        <is>
          <t>Criterio de exito</t>
        </is>
      </c>
      <c r="D70" s="11" t="n">
        <v>21</v>
      </c>
      <c r="E70" s="11" t="n">
        <v>39</v>
      </c>
      <c r="F70" s="11" t="n">
        <v>21</v>
      </c>
      <c r="G70" s="11" t="n">
        <v>19</v>
      </c>
      <c r="H70" s="12">
        <f>SUM(D70:G70)</f>
        <v/>
      </c>
      <c r="I70" s="11" t="n">
        <v>25</v>
      </c>
      <c r="J70" s="11" t="n">
        <v>32</v>
      </c>
      <c r="K70" s="11" t="n">
        <v>25</v>
      </c>
      <c r="L70" s="11" t="n">
        <v>18</v>
      </c>
      <c r="M70" s="12">
        <f>SUM(I70:L70)</f>
        <v/>
      </c>
      <c r="N70" s="8">
        <f>IF(AND(H70=100,M70=100),"VÁLIDO","ERROR")</f>
        <v/>
      </c>
    </row>
    <row r="71">
      <c r="A71" s="4" t="inlineStr">
        <is>
          <t>R12</t>
        </is>
      </c>
      <c r="B71" s="5" t="inlineStr">
        <is>
          <t>TI</t>
        </is>
      </c>
      <c r="C71" s="5" t="inlineStr">
        <is>
          <t>Caracteristicas dominantes</t>
        </is>
      </c>
      <c r="D71" s="6" t="n">
        <v>26</v>
      </c>
      <c r="E71" s="6" t="n">
        <v>31</v>
      </c>
      <c r="F71" s="6" t="n">
        <v>24</v>
      </c>
      <c r="G71" s="6" t="n">
        <v>19</v>
      </c>
      <c r="H71" s="7">
        <f>SUM(D71:G71)</f>
        <v/>
      </c>
      <c r="I71" s="6" t="n">
        <v>20</v>
      </c>
      <c r="J71" s="6" t="n">
        <v>31</v>
      </c>
      <c r="K71" s="6" t="n">
        <v>27</v>
      </c>
      <c r="L71" s="6" t="n">
        <v>22</v>
      </c>
      <c r="M71" s="7">
        <f>SUM(I71:L71)</f>
        <v/>
      </c>
      <c r="N71" s="8">
        <f>IF(AND(H71=100,M71=100),"VÁLIDO","ERROR")</f>
        <v/>
      </c>
    </row>
    <row r="72">
      <c r="A72" s="9" t="inlineStr">
        <is>
          <t>R12</t>
        </is>
      </c>
      <c r="B72" s="10" t="inlineStr">
        <is>
          <t>TI</t>
        </is>
      </c>
      <c r="C72" s="10" t="inlineStr">
        <is>
          <t>Liderazgo</t>
        </is>
      </c>
      <c r="D72" s="11" t="n">
        <v>23</v>
      </c>
      <c r="E72" s="11" t="n">
        <v>32</v>
      </c>
      <c r="F72" s="11" t="n">
        <v>22</v>
      </c>
      <c r="G72" s="11" t="n">
        <v>23</v>
      </c>
      <c r="H72" s="12">
        <f>SUM(D72:G72)</f>
        <v/>
      </c>
      <c r="I72" s="11" t="n">
        <v>25</v>
      </c>
      <c r="J72" s="11" t="n">
        <v>32</v>
      </c>
      <c r="K72" s="11" t="n">
        <v>24</v>
      </c>
      <c r="L72" s="11" t="n">
        <v>19</v>
      </c>
      <c r="M72" s="12">
        <f>SUM(I72:L72)</f>
        <v/>
      </c>
      <c r="N72" s="8">
        <f>IF(AND(H72=100,M72=100),"VÁLIDO","ERROR")</f>
        <v/>
      </c>
    </row>
    <row r="73">
      <c r="A73" s="4" t="inlineStr">
        <is>
          <t>R12</t>
        </is>
      </c>
      <c r="B73" s="5" t="inlineStr">
        <is>
          <t>TI</t>
        </is>
      </c>
      <c r="C73" s="5" t="inlineStr">
        <is>
          <t>Gestion del personal</t>
        </is>
      </c>
      <c r="D73" s="6" t="n">
        <v>27</v>
      </c>
      <c r="E73" s="6" t="n">
        <v>36</v>
      </c>
      <c r="F73" s="6" t="n">
        <v>15</v>
      </c>
      <c r="G73" s="6" t="n">
        <v>22</v>
      </c>
      <c r="H73" s="7">
        <f>SUM(D73:G73)</f>
        <v/>
      </c>
      <c r="I73" s="6" t="n">
        <v>15</v>
      </c>
      <c r="J73" s="6" t="n">
        <v>37</v>
      </c>
      <c r="K73" s="6" t="n">
        <v>29</v>
      </c>
      <c r="L73" s="6" t="n">
        <v>19</v>
      </c>
      <c r="M73" s="7">
        <f>SUM(I73:L73)</f>
        <v/>
      </c>
      <c r="N73" s="8">
        <f>IF(AND(H73=100,M73=100),"VÁLIDO","ERROR")</f>
        <v/>
      </c>
    </row>
    <row r="74">
      <c r="A74" s="9" t="inlineStr">
        <is>
          <t>R12</t>
        </is>
      </c>
      <c r="B74" s="10" t="inlineStr">
        <is>
          <t>TI</t>
        </is>
      </c>
      <c r="C74" s="10" t="inlineStr">
        <is>
          <t>Cohesion</t>
        </is>
      </c>
      <c r="D74" s="11" t="n">
        <v>26</v>
      </c>
      <c r="E74" s="11" t="n">
        <v>35</v>
      </c>
      <c r="F74" s="11" t="n">
        <v>15</v>
      </c>
      <c r="G74" s="11" t="n">
        <v>24</v>
      </c>
      <c r="H74" s="12">
        <f>SUM(D74:G74)</f>
        <v/>
      </c>
      <c r="I74" s="11" t="n">
        <v>18</v>
      </c>
      <c r="J74" s="11" t="n">
        <v>34</v>
      </c>
      <c r="K74" s="11" t="n">
        <v>28</v>
      </c>
      <c r="L74" s="11" t="n">
        <v>20</v>
      </c>
      <c r="M74" s="12">
        <f>SUM(I74:L74)</f>
        <v/>
      </c>
      <c r="N74" s="8">
        <f>IF(AND(H74=100,M74=100),"VÁLIDO","ERROR")</f>
        <v/>
      </c>
    </row>
    <row r="75">
      <c r="A75" s="4" t="inlineStr">
        <is>
          <t>R12</t>
        </is>
      </c>
      <c r="B75" s="5" t="inlineStr">
        <is>
          <t>TI</t>
        </is>
      </c>
      <c r="C75" s="5" t="inlineStr">
        <is>
          <t>Enfasis estrategico</t>
        </is>
      </c>
      <c r="D75" s="6" t="n">
        <v>22</v>
      </c>
      <c r="E75" s="6" t="n">
        <v>40</v>
      </c>
      <c r="F75" s="6" t="n">
        <v>16</v>
      </c>
      <c r="G75" s="6" t="n">
        <v>22</v>
      </c>
      <c r="H75" s="7">
        <f>SUM(D75:G75)</f>
        <v/>
      </c>
      <c r="I75" s="6" t="n">
        <v>21</v>
      </c>
      <c r="J75" s="6" t="n">
        <v>30</v>
      </c>
      <c r="K75" s="6" t="n">
        <v>28</v>
      </c>
      <c r="L75" s="6" t="n">
        <v>21</v>
      </c>
      <c r="M75" s="7">
        <f>SUM(I75:L75)</f>
        <v/>
      </c>
      <c r="N75" s="8">
        <f>IF(AND(H75=100,M75=100),"VÁLIDO","ERROR")</f>
        <v/>
      </c>
    </row>
    <row r="76">
      <c r="A76" s="9" t="inlineStr">
        <is>
          <t>R12</t>
        </is>
      </c>
      <c r="B76" s="10" t="inlineStr">
        <is>
          <t>TI</t>
        </is>
      </c>
      <c r="C76" s="10" t="inlineStr">
        <is>
          <t>Criterio de exito</t>
        </is>
      </c>
      <c r="D76" s="11" t="n">
        <v>24</v>
      </c>
      <c r="E76" s="11" t="n">
        <v>35</v>
      </c>
      <c r="F76" s="11" t="n">
        <v>22</v>
      </c>
      <c r="G76" s="11" t="n">
        <v>19</v>
      </c>
      <c r="H76" s="12">
        <f>SUM(D76:G76)</f>
        <v/>
      </c>
      <c r="I76" s="11" t="n">
        <v>26</v>
      </c>
      <c r="J76" s="11" t="n">
        <v>33</v>
      </c>
      <c r="K76" s="11" t="n">
        <v>21</v>
      </c>
      <c r="L76" s="11" t="n">
        <v>20</v>
      </c>
      <c r="M76" s="12">
        <f>SUM(I76:L76)</f>
        <v/>
      </c>
      <c r="N76" s="8">
        <f>IF(AND(H76=100,M76=100),"VÁLIDO","ERROR")</f>
        <v/>
      </c>
    </row>
    <row r="77">
      <c r="A77" s="4" t="inlineStr">
        <is>
          <t>R13</t>
        </is>
      </c>
      <c r="B77" s="5" t="inlineStr">
        <is>
          <t>TI</t>
        </is>
      </c>
      <c r="C77" s="5" t="inlineStr">
        <is>
          <t>Caracteristicas dominantes</t>
        </is>
      </c>
      <c r="D77" s="6" t="n">
        <v>22</v>
      </c>
      <c r="E77" s="6" t="n">
        <v>33</v>
      </c>
      <c r="F77" s="6" t="n">
        <v>25</v>
      </c>
      <c r="G77" s="6" t="n">
        <v>20</v>
      </c>
      <c r="H77" s="7">
        <f>SUM(D77:G77)</f>
        <v/>
      </c>
      <c r="I77" s="6" t="n">
        <v>24</v>
      </c>
      <c r="J77" s="6" t="n">
        <v>35</v>
      </c>
      <c r="K77" s="6" t="n">
        <v>27</v>
      </c>
      <c r="L77" s="6" t="n">
        <v>14</v>
      </c>
      <c r="M77" s="7">
        <f>SUM(I77:L77)</f>
        <v/>
      </c>
      <c r="N77" s="8">
        <f>IF(AND(H77=100,M77=100),"VÁLIDO","ERROR")</f>
        <v/>
      </c>
    </row>
    <row r="78">
      <c r="A78" s="9" t="inlineStr">
        <is>
          <t>R13</t>
        </is>
      </c>
      <c r="B78" s="10" t="inlineStr">
        <is>
          <t>TI</t>
        </is>
      </c>
      <c r="C78" s="10" t="inlineStr">
        <is>
          <t>Liderazgo</t>
        </is>
      </c>
      <c r="D78" s="11" t="n">
        <v>21</v>
      </c>
      <c r="E78" s="11" t="n">
        <v>40</v>
      </c>
      <c r="F78" s="11" t="n">
        <v>15</v>
      </c>
      <c r="G78" s="11" t="n">
        <v>24</v>
      </c>
      <c r="H78" s="12">
        <f>SUM(D78:G78)</f>
        <v/>
      </c>
      <c r="I78" s="11" t="n">
        <v>27</v>
      </c>
      <c r="J78" s="11" t="n">
        <v>29</v>
      </c>
      <c r="K78" s="11" t="n">
        <v>27</v>
      </c>
      <c r="L78" s="11" t="n">
        <v>17</v>
      </c>
      <c r="M78" s="12">
        <f>SUM(I78:L78)</f>
        <v/>
      </c>
      <c r="N78" s="8">
        <f>IF(AND(H78=100,M78=100),"VÁLIDO","ERROR")</f>
        <v/>
      </c>
    </row>
    <row r="79">
      <c r="A79" s="4" t="inlineStr">
        <is>
          <t>R13</t>
        </is>
      </c>
      <c r="B79" s="5" t="inlineStr">
        <is>
          <t>TI</t>
        </is>
      </c>
      <c r="C79" s="5" t="inlineStr">
        <is>
          <t>Gestion del personal</t>
        </is>
      </c>
      <c r="D79" s="6" t="n">
        <v>23</v>
      </c>
      <c r="E79" s="6" t="n">
        <v>39</v>
      </c>
      <c r="F79" s="6" t="n">
        <v>18</v>
      </c>
      <c r="G79" s="6" t="n">
        <v>20</v>
      </c>
      <c r="H79" s="7">
        <f>SUM(D79:G79)</f>
        <v/>
      </c>
      <c r="I79" s="6" t="n">
        <v>20</v>
      </c>
      <c r="J79" s="6" t="n">
        <v>38</v>
      </c>
      <c r="K79" s="6" t="n">
        <v>28</v>
      </c>
      <c r="L79" s="6" t="n">
        <v>14</v>
      </c>
      <c r="M79" s="7">
        <f>SUM(I79:L79)</f>
        <v/>
      </c>
      <c r="N79" s="8">
        <f>IF(AND(H79=100,M79=100),"VÁLIDO","ERROR")</f>
        <v/>
      </c>
    </row>
    <row r="80">
      <c r="A80" s="9" t="inlineStr">
        <is>
          <t>R13</t>
        </is>
      </c>
      <c r="B80" s="10" t="inlineStr">
        <is>
          <t>TI</t>
        </is>
      </c>
      <c r="C80" s="10" t="inlineStr">
        <is>
          <t>Cohesion</t>
        </is>
      </c>
      <c r="D80" s="11" t="n">
        <v>22</v>
      </c>
      <c r="E80" s="11" t="n">
        <v>36</v>
      </c>
      <c r="F80" s="11" t="n">
        <v>24</v>
      </c>
      <c r="G80" s="11" t="n">
        <v>18</v>
      </c>
      <c r="H80" s="12">
        <f>SUM(D80:G80)</f>
        <v/>
      </c>
      <c r="I80" s="11" t="n">
        <v>26</v>
      </c>
      <c r="J80" s="11" t="n">
        <v>30</v>
      </c>
      <c r="K80" s="11" t="n">
        <v>24</v>
      </c>
      <c r="L80" s="11" t="n">
        <v>20</v>
      </c>
      <c r="M80" s="12">
        <f>SUM(I80:L80)</f>
        <v/>
      </c>
      <c r="N80" s="8">
        <f>IF(AND(H80=100,M80=100),"VÁLIDO","ERROR")</f>
        <v/>
      </c>
    </row>
    <row r="81">
      <c r="A81" s="4" t="inlineStr">
        <is>
          <t>R13</t>
        </is>
      </c>
      <c r="B81" s="5" t="inlineStr">
        <is>
          <t>TI</t>
        </is>
      </c>
      <c r="C81" s="5" t="inlineStr">
        <is>
          <t>Enfasis estrategico</t>
        </is>
      </c>
      <c r="D81" s="6" t="n">
        <v>24</v>
      </c>
      <c r="E81" s="6" t="n">
        <v>37</v>
      </c>
      <c r="F81" s="6" t="n">
        <v>17</v>
      </c>
      <c r="G81" s="6" t="n">
        <v>22</v>
      </c>
      <c r="H81" s="7">
        <f>SUM(D81:G81)</f>
        <v/>
      </c>
      <c r="I81" s="6" t="n">
        <v>23</v>
      </c>
      <c r="J81" s="6" t="n">
        <v>35</v>
      </c>
      <c r="K81" s="6" t="n">
        <v>24</v>
      </c>
      <c r="L81" s="6" t="n">
        <v>18</v>
      </c>
      <c r="M81" s="7">
        <f>SUM(I81:L81)</f>
        <v/>
      </c>
      <c r="N81" s="8">
        <f>IF(AND(H81=100,M81=100),"VÁLIDO","ERROR")</f>
        <v/>
      </c>
    </row>
    <row r="82">
      <c r="A82" s="9" t="inlineStr">
        <is>
          <t>R13</t>
        </is>
      </c>
      <c r="B82" s="10" t="inlineStr">
        <is>
          <t>TI</t>
        </is>
      </c>
      <c r="C82" s="10" t="inlineStr">
        <is>
          <t>Criterio de exito</t>
        </is>
      </c>
      <c r="D82" s="11" t="n">
        <v>22</v>
      </c>
      <c r="E82" s="11" t="n">
        <v>37</v>
      </c>
      <c r="F82" s="11" t="n">
        <v>23</v>
      </c>
      <c r="G82" s="11" t="n">
        <v>18</v>
      </c>
      <c r="H82" s="12">
        <f>SUM(D82:G82)</f>
        <v/>
      </c>
      <c r="I82" s="11" t="n">
        <v>28</v>
      </c>
      <c r="J82" s="11" t="n">
        <v>27</v>
      </c>
      <c r="K82" s="11" t="n">
        <v>23</v>
      </c>
      <c r="L82" s="11" t="n">
        <v>22</v>
      </c>
      <c r="M82" s="12">
        <f>SUM(I82:L82)</f>
        <v/>
      </c>
      <c r="N82" s="8">
        <f>IF(AND(H82=100,M82=100),"VÁLIDO","ERROR")</f>
        <v/>
      </c>
    </row>
    <row r="83">
      <c r="A83" s="4" t="inlineStr">
        <is>
          <t>R14</t>
        </is>
      </c>
      <c r="B83" s="5" t="inlineStr">
        <is>
          <t>TI</t>
        </is>
      </c>
      <c r="C83" s="5" t="inlineStr">
        <is>
          <t>Caracteristicas dominantes</t>
        </is>
      </c>
      <c r="D83" s="6" t="n">
        <v>22</v>
      </c>
      <c r="E83" s="6" t="n">
        <v>42</v>
      </c>
      <c r="F83" s="6" t="n">
        <v>20</v>
      </c>
      <c r="G83" s="6" t="n">
        <v>16</v>
      </c>
      <c r="H83" s="7">
        <f>SUM(D83:G83)</f>
        <v/>
      </c>
      <c r="I83" s="6" t="n">
        <v>26</v>
      </c>
      <c r="J83" s="6" t="n">
        <v>30</v>
      </c>
      <c r="K83" s="6" t="n">
        <v>26</v>
      </c>
      <c r="L83" s="6" t="n">
        <v>18</v>
      </c>
      <c r="M83" s="7">
        <f>SUM(I83:L83)</f>
        <v/>
      </c>
      <c r="N83" s="8">
        <f>IF(AND(H83=100,M83=100),"VÁLIDO","ERROR")</f>
        <v/>
      </c>
    </row>
    <row r="84">
      <c r="A84" s="9" t="inlineStr">
        <is>
          <t>R14</t>
        </is>
      </c>
      <c r="B84" s="10" t="inlineStr">
        <is>
          <t>TI</t>
        </is>
      </c>
      <c r="C84" s="10" t="inlineStr">
        <is>
          <t>Liderazgo</t>
        </is>
      </c>
      <c r="D84" s="11" t="n">
        <v>23</v>
      </c>
      <c r="E84" s="11" t="n">
        <v>39</v>
      </c>
      <c r="F84" s="11" t="n">
        <v>18</v>
      </c>
      <c r="G84" s="11" t="n">
        <v>20</v>
      </c>
      <c r="H84" s="12">
        <f>SUM(D84:G84)</f>
        <v/>
      </c>
      <c r="I84" s="11" t="n">
        <v>23</v>
      </c>
      <c r="J84" s="11" t="n">
        <v>36</v>
      </c>
      <c r="K84" s="11" t="n">
        <v>22</v>
      </c>
      <c r="L84" s="11" t="n">
        <v>19</v>
      </c>
      <c r="M84" s="12">
        <f>SUM(I84:L84)</f>
        <v/>
      </c>
      <c r="N84" s="8">
        <f>IF(AND(H84=100,M84=100),"VÁLIDO","ERROR")</f>
        <v/>
      </c>
    </row>
    <row r="85">
      <c r="A85" s="4" t="inlineStr">
        <is>
          <t>R14</t>
        </is>
      </c>
      <c r="B85" s="5" t="inlineStr">
        <is>
          <t>TI</t>
        </is>
      </c>
      <c r="C85" s="5" t="inlineStr">
        <is>
          <t>Gestion del personal</t>
        </is>
      </c>
      <c r="D85" s="6" t="n">
        <v>20</v>
      </c>
      <c r="E85" s="6" t="n">
        <v>39</v>
      </c>
      <c r="F85" s="6" t="n">
        <v>19</v>
      </c>
      <c r="G85" s="6" t="n">
        <v>22</v>
      </c>
      <c r="H85" s="7">
        <f>SUM(D85:G85)</f>
        <v/>
      </c>
      <c r="I85" s="6" t="n">
        <v>23</v>
      </c>
      <c r="J85" s="6" t="n">
        <v>35</v>
      </c>
      <c r="K85" s="6" t="n">
        <v>30</v>
      </c>
      <c r="L85" s="6" t="n">
        <v>12</v>
      </c>
      <c r="M85" s="7">
        <f>SUM(I85:L85)</f>
        <v/>
      </c>
      <c r="N85" s="8">
        <f>IF(AND(H85=100,M85=100),"VÁLIDO","ERROR")</f>
        <v/>
      </c>
    </row>
    <row r="86">
      <c r="A86" s="9" t="inlineStr">
        <is>
          <t>R14</t>
        </is>
      </c>
      <c r="B86" s="10" t="inlineStr">
        <is>
          <t>TI</t>
        </is>
      </c>
      <c r="C86" s="10" t="inlineStr">
        <is>
          <t>Cohesion</t>
        </is>
      </c>
      <c r="D86" s="11" t="n">
        <v>21</v>
      </c>
      <c r="E86" s="11" t="n">
        <v>32</v>
      </c>
      <c r="F86" s="11" t="n">
        <v>26</v>
      </c>
      <c r="G86" s="11" t="n">
        <v>21</v>
      </c>
      <c r="H86" s="12">
        <f>SUM(D86:G86)</f>
        <v/>
      </c>
      <c r="I86" s="11" t="n">
        <v>26</v>
      </c>
      <c r="J86" s="11" t="n">
        <v>35</v>
      </c>
      <c r="K86" s="11" t="n">
        <v>24</v>
      </c>
      <c r="L86" s="11" t="n">
        <v>15</v>
      </c>
      <c r="M86" s="12">
        <f>SUM(I86:L86)</f>
        <v/>
      </c>
      <c r="N86" s="8">
        <f>IF(AND(H86=100,M86=100),"VÁLIDO","ERROR")</f>
        <v/>
      </c>
    </row>
    <row r="87">
      <c r="A87" s="4" t="inlineStr">
        <is>
          <t>R14</t>
        </is>
      </c>
      <c r="B87" s="5" t="inlineStr">
        <is>
          <t>TI</t>
        </is>
      </c>
      <c r="C87" s="5" t="inlineStr">
        <is>
          <t>Enfasis estrategico</t>
        </is>
      </c>
      <c r="D87" s="6" t="n">
        <v>22</v>
      </c>
      <c r="E87" s="6" t="n">
        <v>41</v>
      </c>
      <c r="F87" s="6" t="n">
        <v>19</v>
      </c>
      <c r="G87" s="6" t="n">
        <v>18</v>
      </c>
      <c r="H87" s="7">
        <f>SUM(D87:G87)</f>
        <v/>
      </c>
      <c r="I87" s="6" t="n">
        <v>22</v>
      </c>
      <c r="J87" s="6" t="n">
        <v>38</v>
      </c>
      <c r="K87" s="6" t="n">
        <v>27</v>
      </c>
      <c r="L87" s="6" t="n">
        <v>13</v>
      </c>
      <c r="M87" s="7">
        <f>SUM(I87:L87)</f>
        <v/>
      </c>
      <c r="N87" s="8">
        <f>IF(AND(H87=100,M87=100),"VÁLIDO","ERROR")</f>
        <v/>
      </c>
    </row>
    <row r="88">
      <c r="A88" s="9" t="inlineStr">
        <is>
          <t>R14</t>
        </is>
      </c>
      <c r="B88" s="10" t="inlineStr">
        <is>
          <t>TI</t>
        </is>
      </c>
      <c r="C88" s="10" t="inlineStr">
        <is>
          <t>Criterio de exito</t>
        </is>
      </c>
      <c r="D88" s="11" t="n">
        <v>24</v>
      </c>
      <c r="E88" s="11" t="n">
        <v>36</v>
      </c>
      <c r="F88" s="11" t="n">
        <v>21</v>
      </c>
      <c r="G88" s="11" t="n">
        <v>19</v>
      </c>
      <c r="H88" s="12">
        <f>SUM(D88:G88)</f>
        <v/>
      </c>
      <c r="I88" s="11" t="n">
        <v>25</v>
      </c>
      <c r="J88" s="11" t="n">
        <v>32</v>
      </c>
      <c r="K88" s="11" t="n">
        <v>24</v>
      </c>
      <c r="L88" s="11" t="n">
        <v>19</v>
      </c>
      <c r="M88" s="12">
        <f>SUM(I88:L88)</f>
        <v/>
      </c>
      <c r="N88" s="8">
        <f>IF(AND(H88=100,M88=100),"VÁLIDO","ERROR")</f>
        <v/>
      </c>
    </row>
    <row r="89">
      <c r="A89" s="4" t="inlineStr">
        <is>
          <t>R15</t>
        </is>
      </c>
      <c r="B89" s="5" t="inlineStr">
        <is>
          <t>TI</t>
        </is>
      </c>
      <c r="C89" s="5" t="inlineStr">
        <is>
          <t>Caracteristicas dominantes</t>
        </is>
      </c>
      <c r="D89" s="6" t="n">
        <v>22</v>
      </c>
      <c r="E89" s="6" t="n">
        <v>38</v>
      </c>
      <c r="F89" s="6" t="n">
        <v>23</v>
      </c>
      <c r="G89" s="6" t="n">
        <v>17</v>
      </c>
      <c r="H89" s="7">
        <f>SUM(D89:G89)</f>
        <v/>
      </c>
      <c r="I89" s="6" t="n">
        <v>19</v>
      </c>
      <c r="J89" s="6" t="n">
        <v>34</v>
      </c>
      <c r="K89" s="6" t="n">
        <v>31</v>
      </c>
      <c r="L89" s="6" t="n">
        <v>16</v>
      </c>
      <c r="M89" s="7">
        <f>SUM(I89:L89)</f>
        <v/>
      </c>
      <c r="N89" s="8">
        <f>IF(AND(H89=100,M89=100),"VÁLIDO","ERROR")</f>
        <v/>
      </c>
    </row>
    <row r="90">
      <c r="A90" s="9" t="inlineStr">
        <is>
          <t>R15</t>
        </is>
      </c>
      <c r="B90" s="10" t="inlineStr">
        <is>
          <t>TI</t>
        </is>
      </c>
      <c r="C90" s="10" t="inlineStr">
        <is>
          <t>Liderazgo</t>
        </is>
      </c>
      <c r="D90" s="11" t="n">
        <v>25</v>
      </c>
      <c r="E90" s="11" t="n">
        <v>38</v>
      </c>
      <c r="F90" s="11" t="n">
        <v>18</v>
      </c>
      <c r="G90" s="11" t="n">
        <v>19</v>
      </c>
      <c r="H90" s="12">
        <f>SUM(D90:G90)</f>
        <v/>
      </c>
      <c r="I90" s="11" t="n">
        <v>26</v>
      </c>
      <c r="J90" s="11" t="n">
        <v>28</v>
      </c>
      <c r="K90" s="11" t="n">
        <v>28</v>
      </c>
      <c r="L90" s="11" t="n">
        <v>18</v>
      </c>
      <c r="M90" s="12">
        <f>SUM(I90:L90)</f>
        <v/>
      </c>
      <c r="N90" s="8">
        <f>IF(AND(H90=100,M90=100),"VÁLIDO","ERROR")</f>
        <v/>
      </c>
    </row>
    <row r="91">
      <c r="A91" s="4" t="inlineStr">
        <is>
          <t>R15</t>
        </is>
      </c>
      <c r="B91" s="5" t="inlineStr">
        <is>
          <t>TI</t>
        </is>
      </c>
      <c r="C91" s="5" t="inlineStr">
        <is>
          <t>Gestion del personal</t>
        </is>
      </c>
      <c r="D91" s="6" t="n">
        <v>27</v>
      </c>
      <c r="E91" s="6" t="n">
        <v>38</v>
      </c>
      <c r="F91" s="6" t="n">
        <v>15</v>
      </c>
      <c r="G91" s="6" t="n">
        <v>20</v>
      </c>
      <c r="H91" s="7">
        <f>SUM(D91:G91)</f>
        <v/>
      </c>
      <c r="I91" s="6" t="n">
        <v>22</v>
      </c>
      <c r="J91" s="6" t="n">
        <v>38</v>
      </c>
      <c r="K91" s="6" t="n">
        <v>27</v>
      </c>
      <c r="L91" s="6" t="n">
        <v>13</v>
      </c>
      <c r="M91" s="7">
        <f>SUM(I91:L91)</f>
        <v/>
      </c>
      <c r="N91" s="8">
        <f>IF(AND(H91=100,M91=100),"VÁLIDO","ERROR")</f>
        <v/>
      </c>
    </row>
    <row r="92">
      <c r="A92" s="9" t="inlineStr">
        <is>
          <t>R15</t>
        </is>
      </c>
      <c r="B92" s="10" t="inlineStr">
        <is>
          <t>TI</t>
        </is>
      </c>
      <c r="C92" s="10" t="inlineStr">
        <is>
          <t>Cohesion</t>
        </is>
      </c>
      <c r="D92" s="11" t="n">
        <v>22</v>
      </c>
      <c r="E92" s="11" t="n">
        <v>33</v>
      </c>
      <c r="F92" s="11" t="n">
        <v>23</v>
      </c>
      <c r="G92" s="11" t="n">
        <v>22</v>
      </c>
      <c r="H92" s="12">
        <f>SUM(D92:G92)</f>
        <v/>
      </c>
      <c r="I92" s="11" t="n">
        <v>17</v>
      </c>
      <c r="J92" s="11" t="n">
        <v>36</v>
      </c>
      <c r="K92" s="11" t="n">
        <v>28</v>
      </c>
      <c r="L92" s="11" t="n">
        <v>19</v>
      </c>
      <c r="M92" s="12">
        <f>SUM(I92:L92)</f>
        <v/>
      </c>
      <c r="N92" s="8">
        <f>IF(AND(H92=100,M92=100),"VÁLIDO","ERROR")</f>
        <v/>
      </c>
    </row>
    <row r="93">
      <c r="A93" s="4" t="inlineStr">
        <is>
          <t>R15</t>
        </is>
      </c>
      <c r="B93" s="5" t="inlineStr">
        <is>
          <t>TI</t>
        </is>
      </c>
      <c r="C93" s="5" t="inlineStr">
        <is>
          <t>Enfasis estrategico</t>
        </is>
      </c>
      <c r="D93" s="6" t="n">
        <v>20</v>
      </c>
      <c r="E93" s="6" t="n">
        <v>41</v>
      </c>
      <c r="F93" s="6" t="n">
        <v>17</v>
      </c>
      <c r="G93" s="6" t="n">
        <v>22</v>
      </c>
      <c r="H93" s="7">
        <f>SUM(D93:G93)</f>
        <v/>
      </c>
      <c r="I93" s="6" t="n">
        <v>24</v>
      </c>
      <c r="J93" s="6" t="n">
        <v>33</v>
      </c>
      <c r="K93" s="6" t="n">
        <v>28</v>
      </c>
      <c r="L93" s="6" t="n">
        <v>15</v>
      </c>
      <c r="M93" s="7">
        <f>SUM(I93:L93)</f>
        <v/>
      </c>
      <c r="N93" s="8">
        <f>IF(AND(H93=100,M93=100),"VÁLIDO","ERROR")</f>
        <v/>
      </c>
    </row>
    <row r="94">
      <c r="A94" s="9" t="inlineStr">
        <is>
          <t>R15</t>
        </is>
      </c>
      <c r="B94" s="10" t="inlineStr">
        <is>
          <t>TI</t>
        </is>
      </c>
      <c r="C94" s="10" t="inlineStr">
        <is>
          <t>Criterio de exito</t>
        </is>
      </c>
      <c r="D94" s="11" t="n">
        <v>21</v>
      </c>
      <c r="E94" s="11" t="n">
        <v>33</v>
      </c>
      <c r="F94" s="11" t="n">
        <v>27</v>
      </c>
      <c r="G94" s="11" t="n">
        <v>19</v>
      </c>
      <c r="H94" s="12">
        <f>SUM(D94:G94)</f>
        <v/>
      </c>
      <c r="I94" s="11" t="n">
        <v>23</v>
      </c>
      <c r="J94" s="11" t="n">
        <v>29</v>
      </c>
      <c r="K94" s="11" t="n">
        <v>28</v>
      </c>
      <c r="L94" s="11" t="n">
        <v>20</v>
      </c>
      <c r="M94" s="12">
        <f>SUM(I94:L94)</f>
        <v/>
      </c>
      <c r="N94" s="8">
        <f>IF(AND(H94=100,M94=100),"VÁLIDO","ERROR")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9" customWidth="1" min="1" max="1"/>
    <col width="11" customWidth="1" min="2" max="2"/>
    <col width="57" customWidth="1" min="3" max="3"/>
    <col width="11" customWidth="1" min="4" max="4"/>
  </cols>
  <sheetData>
    <row r="1">
      <c r="A1" s="1" t="inlineStr">
        <is>
          <t>CONTROL DE CALIDAD PROGRAMÁTICO DE LA ENCUESTA</t>
        </is>
      </c>
    </row>
    <row r="2">
      <c r="A2" s="2" t="inlineStr">
        <is>
          <t>Regla de validez: A + B + C + D = 100 puntos en cada bloque y momento</t>
        </is>
      </c>
    </row>
    <row r="3"/>
    <row r="4">
      <c r="A4" s="13" t="inlineStr">
        <is>
          <t>Criterio de Control</t>
        </is>
      </c>
      <c r="B4" s="13" t="inlineStr">
        <is>
          <t>Valor</t>
        </is>
      </c>
      <c r="C4" s="13" t="inlineStr">
        <is>
          <t>Detalle / Observación</t>
        </is>
      </c>
    </row>
    <row r="5">
      <c r="A5" s="14" t="inlineStr">
        <is>
          <t>Total de respondientes procesados</t>
        </is>
      </c>
      <c r="B5" s="15" t="n">
        <v>15</v>
      </c>
      <c r="C5" s="16" t="inlineStr">
        <is>
          <t>personas (Administración: 5, Ventas: 5, TI: 5)</t>
        </is>
      </c>
    </row>
    <row r="6">
      <c r="A6" s="17" t="inlineStr">
        <is>
          <t>Total de dimensiones por respondiente</t>
        </is>
      </c>
      <c r="B6" s="18" t="n">
        <v>6</v>
      </c>
      <c r="C6" s="19" t="inlineStr">
        <is>
          <t>dimensiones del Competing Values Framework</t>
        </is>
      </c>
    </row>
    <row r="7">
      <c r="A7" s="14" t="inlineStr">
        <is>
          <t>Total de bloques evaluados (15 × 6)</t>
        </is>
      </c>
      <c r="B7" s="20" t="n">
        <v>90</v>
      </c>
      <c r="C7" s="16" t="inlineStr">
        <is>
          <t>bloques evaluados en 2 momentos</t>
        </is>
      </c>
    </row>
    <row r="8">
      <c r="A8" s="17" t="inlineStr">
        <is>
          <t>Bloques válidos (Suma Actual = 100 y Suma Deseado = 100)</t>
        </is>
      </c>
      <c r="B8" s="21" t="n">
        <v>90</v>
      </c>
      <c r="C8" s="19" t="inlineStr">
        <is>
          <t>100.0% de validez</t>
        </is>
      </c>
    </row>
    <row r="9">
      <c r="A9" s="14" t="inlineStr">
        <is>
          <t>Bloques inválidos (excluidos del cálculo)</t>
        </is>
      </c>
      <c r="B9" s="20" t="n">
        <v>0</v>
      </c>
      <c r="C9" s="16" t="inlineStr">
        <is>
          <t>0.0% de descarte</t>
        </is>
      </c>
    </row>
    <row r="10">
      <c r="A10" s="17" t="inlineStr">
        <is>
          <t>Tasa de completitud y consistencia</t>
        </is>
      </c>
      <c r="B10" s="21" t="inlineStr">
        <is>
          <t>100%</t>
        </is>
      </c>
      <c r="C10" s="19" t="inlineStr">
        <is>
          <t>Todos los bloques aptos para procesamiento estadístico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  <col width="16" customWidth="1" min="3" max="3"/>
    <col width="17" customWidth="1" min="4" max="4"/>
    <col width="28" customWidth="1" min="5" max="5"/>
  </cols>
  <sheetData>
    <row r="1">
      <c r="A1" s="1" t="inlineStr">
        <is>
          <t>PERFIL CULTURAL GENERAL CONSOLIDADO - DICOSUR S.A.C.</t>
        </is>
      </c>
    </row>
    <row r="2">
      <c r="A2" s="2" t="inlineStr">
        <is>
          <t>Puntajes medios actuales, deseados a 5 años y brechas de transformación</t>
        </is>
      </c>
    </row>
    <row r="3"/>
    <row r="4">
      <c r="A4" s="22" t="inlineStr">
        <is>
          <t>Tipo Cultural</t>
        </is>
      </c>
      <c r="B4" s="22" t="inlineStr">
        <is>
          <t>Orientación CVF</t>
        </is>
      </c>
      <c r="C4" s="22" t="inlineStr">
        <is>
          <t>Estado Actual</t>
        </is>
      </c>
      <c r="D4" s="22" t="inlineStr">
        <is>
          <t>Estado Deseado</t>
        </is>
      </c>
      <c r="E4" s="22" t="inlineStr">
        <is>
          <t>Brecha (Deseado − Actual)</t>
        </is>
      </c>
    </row>
    <row r="5">
      <c r="A5" s="14" t="inlineStr">
        <is>
          <t>Clan (A)</t>
        </is>
      </c>
      <c r="B5" s="16" t="inlineStr">
        <is>
          <t>Foco Interno + Flexibilidad (Colaboración, familia, consenso)</t>
        </is>
      </c>
      <c r="C5" s="23" t="n">
        <v>17.02</v>
      </c>
      <c r="D5" s="23" t="n">
        <v>21.79</v>
      </c>
      <c r="E5" s="24" t="n">
        <v>4.77</v>
      </c>
    </row>
    <row r="6">
      <c r="A6" s="17" t="inlineStr">
        <is>
          <t>Adhocracia (B)</t>
        </is>
      </c>
      <c r="B6" s="19" t="inlineStr">
        <is>
          <t>Foco Externo + Flexibilidad (Innovación, agilidad, riesgo)</t>
        </is>
      </c>
      <c r="C6" s="25" t="n">
        <v>19.96</v>
      </c>
      <c r="D6" s="25" t="n">
        <v>31.37</v>
      </c>
      <c r="E6" s="26" t="n">
        <v>11.41</v>
      </c>
    </row>
    <row r="7">
      <c r="A7" s="14" t="inlineStr">
        <is>
          <t>Mercado (C)</t>
        </is>
      </c>
      <c r="B7" s="16" t="inlineStr">
        <is>
          <t>Foco Externo + Control (Competitividad, ventas, cuotas)</t>
        </is>
      </c>
      <c r="C7" s="23" t="n">
        <v>33.21</v>
      </c>
      <c r="D7" s="23" t="n">
        <v>27.2</v>
      </c>
      <c r="E7" s="27" t="n">
        <v>-6.01</v>
      </c>
    </row>
    <row r="8">
      <c r="A8" s="17" t="inlineStr">
        <is>
          <t>Jerarquía (D)</t>
        </is>
      </c>
      <c r="B8" s="19" t="inlineStr">
        <is>
          <t>Foco Interno + Control (Procedimientos, orden, directivas)</t>
        </is>
      </c>
      <c r="C8" s="25" t="n">
        <v>29.81</v>
      </c>
      <c r="D8" s="25" t="n">
        <v>19.64</v>
      </c>
      <c r="E8" s="28" t="n">
        <v>-10.17</v>
      </c>
    </row>
    <row r="9">
      <c r="A9" s="29" t="inlineStr">
        <is>
          <t>TOTAL PUNTOS</t>
        </is>
      </c>
      <c r="B9" s="29" t="inlineStr">
        <is>
          <t>Suma de tipos culturales</t>
        </is>
      </c>
      <c r="C9" s="30">
        <f>SUM(C5:C8)</f>
        <v/>
      </c>
      <c r="D9" s="30">
        <f>SUM(D5:D8)</f>
        <v/>
      </c>
      <c r="E9" s="30">
        <f>SUM(E5:E8)</f>
        <v/>
      </c>
    </row>
    <row r="10"/>
    <row r="11">
      <c r="A11" s="31" t="inlineStr">
        <is>
          <t>SÍNTESIS DEL DIAGNÓSTICO:</t>
        </is>
      </c>
    </row>
    <row r="12">
      <c r="A12" s="31" t="inlineStr">
        <is>
          <t>Cultura Dominante Actual:</t>
        </is>
      </c>
      <c r="B12" s="32" t="inlineStr">
        <is>
          <t>Mercado (C) con 33.21 puntos (seguida de Jerarquía con 29.81 puntos)</t>
        </is>
      </c>
    </row>
    <row r="13">
      <c r="A13" s="31" t="inlineStr">
        <is>
          <t>Cultura Dominante Deseada:</t>
        </is>
      </c>
      <c r="B13" s="32" t="inlineStr">
        <is>
          <t>Adhocracia (B) con 31.37 puntos</t>
        </is>
      </c>
    </row>
    <row r="14">
      <c r="A14" s="31" t="inlineStr">
        <is>
          <t>Mayor Brecha Positiva (Aspiración):</t>
        </is>
      </c>
      <c r="B14" s="32" t="inlineStr">
        <is>
          <t>Adhocracia (B) con +11.41 puntos (Transformación digital, canales y agilidad)</t>
        </is>
      </c>
    </row>
    <row r="15">
      <c r="A15" s="31" t="inlineStr">
        <is>
          <t>Mayor Brecha Negativa (Reducción):</t>
        </is>
      </c>
      <c r="B15" s="32" t="inlineStr">
        <is>
          <t>Jerarquía (D) con -10.17 puntos (Desburocratización y descentralización)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4" customWidth="1" min="3" max="3"/>
    <col width="21" customWidth="1" min="4" max="4"/>
    <col width="23" customWidth="1" min="5" max="5"/>
    <col width="27" customWidth="1" min="6" max="6"/>
  </cols>
  <sheetData>
    <row r="1">
      <c r="A1" s="1" t="inlineStr">
        <is>
          <t>PERFIL CULTURAL Y CONGRUENCIA POR ÁREA DE LA ORGANIZACIÓN</t>
        </is>
      </c>
    </row>
    <row r="2">
      <c r="A2" s="2" t="inlineStr">
        <is>
          <t>Comparativa departamental en DICOSUR (Administración, Ventas, TI - 5 respondientes c/u)</t>
        </is>
      </c>
    </row>
    <row r="3"/>
    <row r="4">
      <c r="A4" s="22" t="inlineStr">
        <is>
          <t>Área de la Empresa</t>
        </is>
      </c>
      <c r="B4" s="22" t="inlineStr">
        <is>
          <t>Clan (A) Actual</t>
        </is>
      </c>
      <c r="C4" s="22" t="inlineStr">
        <is>
          <t>Adhocracia (B) Actual</t>
        </is>
      </c>
      <c r="D4" s="22" t="inlineStr">
        <is>
          <t>Mercado (C) Actual</t>
        </is>
      </c>
      <c r="E4" s="22" t="inlineStr">
        <is>
          <t>Jerarquía (D) Actual</t>
        </is>
      </c>
      <c r="F4" s="22" t="inlineStr">
        <is>
          <t>Cultura Dominante Actual</t>
        </is>
      </c>
    </row>
    <row r="5">
      <c r="A5" s="17" t="inlineStr">
        <is>
          <t>Administración y Finanzas</t>
        </is>
      </c>
      <c r="B5" s="25" t="n">
        <v>14.8</v>
      </c>
      <c r="C5" s="25" t="n">
        <v>12.67</v>
      </c>
      <c r="D5" s="25" t="n">
        <v>25.33</v>
      </c>
      <c r="E5" s="25" t="n">
        <v>47.2</v>
      </c>
      <c r="F5" s="33" t="inlineStr">
        <is>
          <t>Jerarquía (D) - 47.20</t>
        </is>
      </c>
    </row>
    <row r="6">
      <c r="A6" s="17" t="inlineStr">
        <is>
          <t>Comercial / Ventas</t>
        </is>
      </c>
      <c r="B6" s="25" t="n">
        <v>13.43</v>
      </c>
      <c r="C6" s="25" t="n">
        <v>10.53</v>
      </c>
      <c r="D6" s="25" t="n">
        <v>54.13</v>
      </c>
      <c r="E6" s="25" t="n">
        <v>21.9</v>
      </c>
      <c r="F6" s="33" t="inlineStr">
        <is>
          <t>Mercado (C) - 54.13</t>
        </is>
      </c>
    </row>
    <row r="7">
      <c r="A7" s="17" t="inlineStr">
        <is>
          <t>Tecnologías de Información (TI)</t>
        </is>
      </c>
      <c r="B7" s="25" t="n">
        <v>22.83</v>
      </c>
      <c r="C7" s="25" t="n">
        <v>36.67</v>
      </c>
      <c r="D7" s="25" t="n">
        <v>20.17</v>
      </c>
      <c r="E7" s="25" t="n">
        <v>20.33</v>
      </c>
      <c r="F7" s="33" t="inlineStr">
        <is>
          <t>Adhocracia (B) - 36.67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ANÁLISIS DETALLADO DE BRECHAS POR DIMENSIÓN DEL CVF</t>
        </is>
      </c>
    </row>
    <row r="2"/>
    <row r="3">
      <c r="A3" s="34" t="inlineStr">
        <is>
          <t>#</t>
        </is>
      </c>
      <c r="B3" s="34" t="inlineStr">
        <is>
          <t>Dimensión CVF</t>
        </is>
      </c>
      <c r="C3" s="34" t="inlineStr">
        <is>
          <t>A Act.</t>
        </is>
      </c>
      <c r="D3" s="34" t="inlineStr">
        <is>
          <t>B Act.</t>
        </is>
      </c>
      <c r="E3" s="34" t="inlineStr">
        <is>
          <t>C Act.</t>
        </is>
      </c>
      <c r="F3" s="34" t="inlineStr">
        <is>
          <t>D Act.</t>
        </is>
      </c>
      <c r="G3" s="34" t="inlineStr">
        <is>
          <t>A Des.</t>
        </is>
      </c>
      <c r="H3" s="34" t="inlineStr">
        <is>
          <t>B Des.</t>
        </is>
      </c>
      <c r="I3" s="34" t="inlineStr">
        <is>
          <t>C Des.</t>
        </is>
      </c>
      <c r="J3" s="34" t="inlineStr">
        <is>
          <t>D Des.</t>
        </is>
      </c>
    </row>
    <row r="4">
      <c r="A4" s="4" t="n">
        <v>1</v>
      </c>
      <c r="B4" s="17" t="inlineStr">
        <is>
          <t>Características dominantes</t>
        </is>
      </c>
      <c r="C4" s="25" t="n">
        <v>17.8</v>
      </c>
      <c r="D4" s="25" t="n">
        <v>20.13</v>
      </c>
      <c r="E4" s="25" t="n">
        <v>33.67</v>
      </c>
      <c r="F4" s="25" t="n">
        <v>28.4</v>
      </c>
      <c r="G4" s="25" t="n">
        <v>21.53</v>
      </c>
      <c r="H4" s="25" t="n">
        <v>30.07</v>
      </c>
      <c r="I4" s="25" t="n">
        <v>27.47</v>
      </c>
      <c r="J4" s="25" t="n">
        <v>20.93</v>
      </c>
    </row>
    <row r="5">
      <c r="A5" s="4" t="n">
        <v>2</v>
      </c>
      <c r="B5" s="17" t="inlineStr">
        <is>
          <t>Liderazgo</t>
        </is>
      </c>
      <c r="C5" s="25" t="n">
        <v>16.73</v>
      </c>
      <c r="D5" s="25" t="n">
        <v>21.07</v>
      </c>
      <c r="E5" s="25" t="n">
        <v>33.13</v>
      </c>
      <c r="F5" s="25" t="n">
        <v>29.07</v>
      </c>
      <c r="G5" s="25" t="n">
        <v>23.13</v>
      </c>
      <c r="H5" s="25" t="n">
        <v>31</v>
      </c>
      <c r="I5" s="25" t="n">
        <v>26.87</v>
      </c>
      <c r="J5" s="25" t="n">
        <v>19</v>
      </c>
    </row>
    <row r="6">
      <c r="A6" s="4" t="n">
        <v>3</v>
      </c>
      <c r="B6" s="17" t="inlineStr">
        <is>
          <t>Gestión del personal</t>
        </is>
      </c>
      <c r="C6" s="25" t="n">
        <v>17.53</v>
      </c>
      <c r="D6" s="25" t="n">
        <v>19.8</v>
      </c>
      <c r="E6" s="25" t="n">
        <v>32.87</v>
      </c>
      <c r="F6" s="25" t="n">
        <v>29.8</v>
      </c>
      <c r="G6" s="25" t="n">
        <v>18.8</v>
      </c>
      <c r="H6" s="25" t="n">
        <v>34.53</v>
      </c>
      <c r="I6" s="25" t="n">
        <v>29.33</v>
      </c>
      <c r="J6" s="25" t="n">
        <v>17.33</v>
      </c>
    </row>
    <row r="7">
      <c r="A7" s="4" t="n">
        <v>4</v>
      </c>
      <c r="B7" s="17" t="inlineStr">
        <is>
          <t>Cohesión</t>
        </is>
      </c>
      <c r="C7" s="25" t="n">
        <v>17.4</v>
      </c>
      <c r="D7" s="25" t="n">
        <v>18.53</v>
      </c>
      <c r="E7" s="25" t="n">
        <v>33.93</v>
      </c>
      <c r="F7" s="25" t="n">
        <v>30.13</v>
      </c>
      <c r="G7" s="25" t="n">
        <v>20.67</v>
      </c>
      <c r="H7" s="25" t="n">
        <v>31.47</v>
      </c>
      <c r="I7" s="25" t="n">
        <v>27</v>
      </c>
      <c r="J7" s="25" t="n">
        <v>20.87</v>
      </c>
    </row>
    <row r="8">
      <c r="A8" s="4" t="n">
        <v>5</v>
      </c>
      <c r="B8" s="17" t="inlineStr">
        <is>
          <t>Énfasis estratégico</t>
        </is>
      </c>
      <c r="C8" s="25" t="n">
        <v>16.47</v>
      </c>
      <c r="D8" s="25" t="n">
        <v>20.6</v>
      </c>
      <c r="E8" s="25" t="n">
        <v>32.07</v>
      </c>
      <c r="F8" s="25" t="n">
        <v>30.87</v>
      </c>
      <c r="G8" s="25" t="n">
        <v>21.33</v>
      </c>
      <c r="H8" s="25" t="n">
        <v>32.27</v>
      </c>
      <c r="I8" s="25" t="n">
        <v>27.4</v>
      </c>
      <c r="J8" s="25" t="n">
        <v>19</v>
      </c>
    </row>
    <row r="9">
      <c r="A9" s="4" t="n">
        <v>6</v>
      </c>
      <c r="B9" s="17" t="inlineStr">
        <is>
          <t>Criterio de éxito</t>
        </is>
      </c>
      <c r="C9" s="25" t="n">
        <v>16.2</v>
      </c>
      <c r="D9" s="25" t="n">
        <v>19.6</v>
      </c>
      <c r="E9" s="25" t="n">
        <v>33.6</v>
      </c>
      <c r="F9" s="25" t="n">
        <v>30.6</v>
      </c>
      <c r="G9" s="25" t="n">
        <v>25.27</v>
      </c>
      <c r="H9" s="25" t="n">
        <v>28.87</v>
      </c>
      <c r="I9" s="25" t="n">
        <v>25.13</v>
      </c>
      <c r="J9" s="25" t="n">
        <v>20.73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2026-09-19T17:53:28Z</dcterms:created>
  <dcterms:modified xsi:type="dcterms:W3CDTF">2026-09-19T17:53:28Z</dcterms:modified>
</cp:coreProperties>
</file>